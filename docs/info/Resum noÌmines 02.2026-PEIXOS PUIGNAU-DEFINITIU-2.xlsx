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/>
  <mc:AlternateContent xmlns:mc="http://schemas.openxmlformats.org/markup-compatibility/2006">
    <mc:Choice Requires="x15">
      <x15ac:absPath xmlns:x15ac="http://schemas.microsoft.com/office/spreadsheetml/2010/11/ac" url="/Users/lbasauret/Desktop/Nóminas/26 FEBRERO/PUIGNAU GIRONA/"/>
    </mc:Choice>
  </mc:AlternateContent>
  <xr:revisionPtr revIDLastSave="0" documentId="8_{2A80F8FB-E0E4-F14E-B06B-676A1F107C9A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1" sheetId="3" r:id="rId1"/>
    <sheet name="2" sheetId="4" r:id="rId2"/>
  </sheets>
  <definedNames>
    <definedName name="_xlnm.Print_Area" localSheetId="0">'1'!$A$1:$DL$80</definedName>
    <definedName name="_xlnm.Print_Area" localSheetId="1">'2'!$A$1:$E$81</definedName>
    <definedName name="_xlnm.Print_Titles" localSheetId="0">'1'!$A:$C</definedName>
    <definedName name="_xlnm.Print_Titles" localSheetId="1">'2'!$A:$C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80" i="4"/>
  <c r="D79" i="4"/>
  <c r="D78" i="4"/>
  <c r="D77" i="4"/>
  <c r="D76" i="4"/>
  <c r="D75" i="4"/>
  <c r="D74" i="4"/>
  <c r="D73" i="4"/>
  <c r="D72" i="4"/>
  <c r="D71" i="4"/>
  <c r="D70" i="4"/>
  <c r="D68" i="4"/>
  <c r="D67" i="4"/>
  <c r="D66" i="4"/>
  <c r="D65" i="4"/>
  <c r="D64" i="4"/>
  <c r="D63" i="4"/>
  <c r="D58" i="4"/>
  <c r="D57" i="4"/>
  <c r="D56" i="4"/>
  <c r="D55" i="4"/>
  <c r="D54" i="4"/>
  <c r="D53" i="4"/>
  <c r="D52" i="4"/>
  <c r="D51" i="4"/>
  <c r="D50" i="4"/>
  <c r="D49" i="4"/>
  <c r="D48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D60" i="4" s="1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D46" i="4" l="1"/>
  <c r="D69" i="3"/>
  <c r="D62" i="3"/>
  <c r="E69" i="3"/>
  <c r="E62" i="3"/>
  <c r="F69" i="3"/>
  <c r="F62" i="3"/>
  <c r="G69" i="3"/>
  <c r="G62" i="3"/>
  <c r="H69" i="3"/>
  <c r="H62" i="3"/>
  <c r="I69" i="3"/>
  <c r="I62" i="3"/>
  <c r="J69" i="3"/>
  <c r="J62" i="3"/>
  <c r="K69" i="3"/>
  <c r="K62" i="3"/>
  <c r="L69" i="3"/>
  <c r="L62" i="3"/>
  <c r="M69" i="3"/>
  <c r="M62" i="3"/>
  <c r="N69" i="3"/>
  <c r="N62" i="3"/>
  <c r="O69" i="3"/>
  <c r="O62" i="3"/>
  <c r="P69" i="3"/>
  <c r="P62" i="3"/>
  <c r="Q69" i="3"/>
  <c r="Q62" i="3"/>
  <c r="R69" i="3"/>
  <c r="R62" i="3"/>
  <c r="S69" i="3"/>
  <c r="S62" i="3"/>
  <c r="T69" i="3"/>
  <c r="T62" i="3"/>
  <c r="U69" i="3"/>
  <c r="U62" i="3"/>
  <c r="V69" i="3"/>
  <c r="V62" i="3"/>
  <c r="W69" i="3"/>
  <c r="W62" i="3"/>
  <c r="X69" i="3"/>
  <c r="X62" i="3"/>
  <c r="Y69" i="3"/>
  <c r="Y62" i="3"/>
  <c r="Z69" i="3"/>
  <c r="Z62" i="3"/>
  <c r="AA69" i="3"/>
  <c r="AA62" i="3"/>
  <c r="AB69" i="3"/>
  <c r="AB62" i="3"/>
  <c r="AC69" i="3"/>
  <c r="AC62" i="3"/>
  <c r="AD69" i="3"/>
  <c r="AD62" i="3"/>
  <c r="AE69" i="3"/>
  <c r="AE62" i="3"/>
  <c r="AF69" i="3"/>
  <c r="AF62" i="3"/>
  <c r="AG69" i="3"/>
  <c r="AG62" i="3"/>
  <c r="AH69" i="3"/>
  <c r="AH62" i="3"/>
  <c r="AI69" i="3"/>
  <c r="AI62" i="3"/>
  <c r="AJ69" i="3"/>
  <c r="AJ62" i="3"/>
  <c r="AK69" i="3"/>
  <c r="AK62" i="3"/>
  <c r="AL69" i="3"/>
  <c r="AL62" i="3"/>
  <c r="AM69" i="3"/>
  <c r="AM62" i="3"/>
  <c r="AN69" i="3"/>
  <c r="AN62" i="3"/>
  <c r="AO69" i="3"/>
  <c r="AO62" i="3"/>
  <c r="AP69" i="3"/>
  <c r="AP62" i="3"/>
  <c r="AQ69" i="3"/>
  <c r="AQ62" i="3"/>
  <c r="AR69" i="3"/>
  <c r="AR62" i="3"/>
  <c r="AS69" i="3"/>
  <c r="AS62" i="3"/>
  <c r="AT69" i="3"/>
  <c r="AT62" i="3"/>
  <c r="AU69" i="3"/>
  <c r="AU62" i="3"/>
  <c r="AV69" i="3"/>
  <c r="AV62" i="3"/>
  <c r="AW69" i="3"/>
  <c r="AW62" i="3"/>
  <c r="AX69" i="3"/>
  <c r="AX62" i="3"/>
  <c r="AY69" i="3"/>
  <c r="AY62" i="3"/>
  <c r="AZ69" i="3"/>
  <c r="AZ62" i="3"/>
  <c r="BA69" i="3"/>
  <c r="BA62" i="3"/>
  <c r="BB69" i="3"/>
  <c r="BB62" i="3"/>
  <c r="BC69" i="3"/>
  <c r="BC62" i="3"/>
  <c r="BD69" i="3"/>
  <c r="BD62" i="3"/>
  <c r="BE69" i="3"/>
  <c r="BE62" i="3"/>
  <c r="BF69" i="3"/>
  <c r="BF62" i="3"/>
  <c r="BG69" i="3"/>
  <c r="BG62" i="3"/>
  <c r="BH69" i="3"/>
  <c r="BH62" i="3"/>
  <c r="BI69" i="3"/>
  <c r="BI62" i="3"/>
  <c r="BJ69" i="3"/>
  <c r="BJ62" i="3"/>
  <c r="BK69" i="3"/>
  <c r="BK62" i="3"/>
  <c r="BL69" i="3"/>
  <c r="BL62" i="3"/>
  <c r="BM69" i="3"/>
  <c r="BM62" i="3"/>
  <c r="BN69" i="3"/>
  <c r="BN62" i="3"/>
  <c r="BO69" i="3"/>
  <c r="BO62" i="3"/>
  <c r="BP69" i="3"/>
  <c r="BP62" i="3"/>
  <c r="BQ69" i="3"/>
  <c r="BQ62" i="3"/>
  <c r="BR69" i="3"/>
  <c r="BR62" i="3"/>
  <c r="BS69" i="3"/>
  <c r="BS62" i="3"/>
  <c r="BT69" i="3"/>
  <c r="BT62" i="3"/>
  <c r="BU69" i="3"/>
  <c r="BU62" i="3"/>
  <c r="BV69" i="3"/>
  <c r="BV62" i="3"/>
  <c r="BW69" i="3"/>
  <c r="BW62" i="3"/>
  <c r="BX69" i="3"/>
  <c r="BX62" i="3"/>
  <c r="BY69" i="3"/>
  <c r="BY62" i="3"/>
  <c r="BZ69" i="3"/>
  <c r="BZ62" i="3"/>
  <c r="CA69" i="3"/>
  <c r="CA62" i="3"/>
  <c r="CB69" i="3"/>
  <c r="CB62" i="3"/>
  <c r="CC69" i="3"/>
  <c r="CC62" i="3"/>
  <c r="CD69" i="3"/>
  <c r="CD62" i="3"/>
  <c r="CE69" i="3"/>
  <c r="CE62" i="3"/>
  <c r="CF69" i="3"/>
  <c r="CF62" i="3"/>
  <c r="CG69" i="3"/>
  <c r="CG62" i="3"/>
  <c r="CH69" i="3"/>
  <c r="CH62" i="3"/>
  <c r="CI69" i="3"/>
  <c r="CI62" i="3"/>
  <c r="CJ69" i="3"/>
  <c r="CJ62" i="3"/>
  <c r="CK69" i="3"/>
  <c r="CK62" i="3"/>
  <c r="CL69" i="3"/>
  <c r="CL62" i="3"/>
  <c r="CM69" i="3"/>
  <c r="CM62" i="3"/>
  <c r="CN69" i="3"/>
  <c r="CN62" i="3"/>
  <c r="CO69" i="3"/>
  <c r="CO62" i="3"/>
  <c r="CP69" i="3"/>
  <c r="CP62" i="3"/>
  <c r="CQ69" i="3"/>
  <c r="CQ62" i="3"/>
  <c r="CR69" i="3"/>
  <c r="CR62" i="3"/>
  <c r="CS69" i="3"/>
  <c r="CS62" i="3"/>
  <c r="CT69" i="3"/>
  <c r="CT62" i="3"/>
  <c r="CU69" i="3"/>
  <c r="CU62" i="3"/>
  <c r="CV69" i="3"/>
  <c r="CV62" i="3"/>
  <c r="CW69" i="3"/>
  <c r="CW62" i="3"/>
  <c r="CX69" i="3"/>
  <c r="CX62" i="3"/>
  <c r="CY69" i="3"/>
  <c r="CY62" i="3"/>
  <c r="CZ69" i="3"/>
  <c r="CZ62" i="3"/>
  <c r="DA69" i="3"/>
  <c r="DA62" i="3"/>
  <c r="DB69" i="3"/>
  <c r="DB62" i="3"/>
  <c r="DC69" i="3"/>
  <c r="DC62" i="3"/>
  <c r="DD69" i="3"/>
  <c r="DD62" i="3"/>
  <c r="DE69" i="3"/>
  <c r="DE62" i="3"/>
  <c r="DF69" i="3"/>
  <c r="DF62" i="3"/>
  <c r="DG69" i="3"/>
  <c r="DG62" i="3"/>
  <c r="DH69" i="3"/>
  <c r="DH62" i="3"/>
  <c r="DI69" i="3"/>
  <c r="DI62" i="3"/>
  <c r="DJ69" i="3"/>
  <c r="DJ62" i="3"/>
  <c r="DK69" i="3"/>
  <c r="DK62" i="3"/>
  <c r="DL69" i="3"/>
  <c r="DL62" i="3"/>
  <c r="D62" i="4" l="1"/>
  <c r="D69" i="4"/>
</calcChain>
</file>

<file path=xl/sharedStrings.xml><?xml version="1.0" encoding="utf-8"?>
<sst xmlns="http://schemas.openxmlformats.org/spreadsheetml/2006/main" count="567" uniqueCount="463">
  <si>
    <t>Moneda: Euro</t>
  </si>
  <si>
    <t>PAGAMENT MENSUAL + LIQUIDACIÓ</t>
  </si>
  <si>
    <t>DEL 01/02/26 AL 28/02/26</t>
  </si>
  <si>
    <t>Empresa:   350-PEIXOS PUIGNAU S.A. NIF: A17216359</t>
  </si>
  <si>
    <t>000002</t>
  </si>
  <si>
    <t>000006</t>
  </si>
  <si>
    <t>000007</t>
  </si>
  <si>
    <t>000010</t>
  </si>
  <si>
    <t>000017</t>
  </si>
  <si>
    <t>000027</t>
  </si>
  <si>
    <t>000028</t>
  </si>
  <si>
    <t>000029</t>
  </si>
  <si>
    <t>000065</t>
  </si>
  <si>
    <t>000073</t>
  </si>
  <si>
    <t>000141</t>
  </si>
  <si>
    <t>000148</t>
  </si>
  <si>
    <t>000152</t>
  </si>
  <si>
    <t>000163</t>
  </si>
  <si>
    <t>000183</t>
  </si>
  <si>
    <t>000185</t>
  </si>
  <si>
    <t>000231</t>
  </si>
  <si>
    <t>000234</t>
  </si>
  <si>
    <t>000245</t>
  </si>
  <si>
    <t>000255</t>
  </si>
  <si>
    <t>000257</t>
  </si>
  <si>
    <t>000261</t>
  </si>
  <si>
    <t>000263</t>
  </si>
  <si>
    <t>000270</t>
  </si>
  <si>
    <t>000271</t>
  </si>
  <si>
    <t>000274</t>
  </si>
  <si>
    <t>000278</t>
  </si>
  <si>
    <t>000290</t>
  </si>
  <si>
    <t>000500</t>
  </si>
  <si>
    <t>000502</t>
  </si>
  <si>
    <t>001013</t>
  </si>
  <si>
    <t>001019</t>
  </si>
  <si>
    <t>001021</t>
  </si>
  <si>
    <t>001023</t>
  </si>
  <si>
    <t>001032</t>
  </si>
  <si>
    <t>001056</t>
  </si>
  <si>
    <t>001057</t>
  </si>
  <si>
    <t>001059</t>
  </si>
  <si>
    <t>001060</t>
  </si>
  <si>
    <t>001139</t>
  </si>
  <si>
    <t>010004</t>
  </si>
  <si>
    <t>010014</t>
  </si>
  <si>
    <t>010019</t>
  </si>
  <si>
    <t>010023</t>
  </si>
  <si>
    <t>010073</t>
  </si>
  <si>
    <t>010077</t>
  </si>
  <si>
    <t>010079</t>
  </si>
  <si>
    <t>100010</t>
  </si>
  <si>
    <t>100047</t>
  </si>
  <si>
    <t>100054</t>
  </si>
  <si>
    <t>100058</t>
  </si>
  <si>
    <t>100065</t>
  </si>
  <si>
    <t>100118</t>
  </si>
  <si>
    <t>100120</t>
  </si>
  <si>
    <t>100131</t>
  </si>
  <si>
    <t>100138</t>
  </si>
  <si>
    <t>100145</t>
  </si>
  <si>
    <t>100163</t>
  </si>
  <si>
    <t>100180</t>
  </si>
  <si>
    <t>100183</t>
  </si>
  <si>
    <t>100218</t>
  </si>
  <si>
    <t>100222</t>
  </si>
  <si>
    <t>100247</t>
  </si>
  <si>
    <t>100248</t>
  </si>
  <si>
    <t>100251</t>
  </si>
  <si>
    <t>100256</t>
  </si>
  <si>
    <t>100267</t>
  </si>
  <si>
    <t>100271</t>
  </si>
  <si>
    <t>100272</t>
  </si>
  <si>
    <t>100284</t>
  </si>
  <si>
    <t>100295</t>
  </si>
  <si>
    <t>100296</t>
  </si>
  <si>
    <t>100302</t>
  </si>
  <si>
    <t>100303</t>
  </si>
  <si>
    <t>100328</t>
  </si>
  <si>
    <t>100362</t>
  </si>
  <si>
    <t>100387</t>
  </si>
  <si>
    <t>100389</t>
  </si>
  <si>
    <t>100403</t>
  </si>
  <si>
    <t>100408</t>
  </si>
  <si>
    <t>100410</t>
  </si>
  <si>
    <t>100422</t>
  </si>
  <si>
    <t>100426</t>
  </si>
  <si>
    <t>100428</t>
  </si>
  <si>
    <t>100429</t>
  </si>
  <si>
    <t>100430</t>
  </si>
  <si>
    <t>100431</t>
  </si>
  <si>
    <t>100433</t>
  </si>
  <si>
    <t>100477</t>
  </si>
  <si>
    <t>100479</t>
  </si>
  <si>
    <t>100484</t>
  </si>
  <si>
    <t>100487</t>
  </si>
  <si>
    <t>100505</t>
  </si>
  <si>
    <t>100509</t>
  </si>
  <si>
    <t>100512</t>
  </si>
  <si>
    <t>100514</t>
  </si>
  <si>
    <t>100520</t>
  </si>
  <si>
    <t>100525</t>
  </si>
  <si>
    <t>100526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</si>
  <si>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</si>
  <si>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</si>
  <si>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</si>
  <si>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</si>
  <si>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</si>
  <si>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</si>
  <si>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</si>
  <si>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</si>
  <si>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</si>
  <si>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</si>
  <si>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</si>
  <si>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</si>
  <si>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</si>
  <si>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</si>
  <si>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FERNANDEZ</t>
  </si>
  <si>
    <t>SUCARRAT</t>
  </si>
  <si>
    <t>GARCIA</t>
  </si>
  <si>
    <t>VIDAL</t>
  </si>
  <si>
    <t>CORNELLA</t>
  </si>
  <si>
    <t>RIBAS</t>
  </si>
  <si>
    <t>OLMO</t>
  </si>
  <si>
    <t>HORTA</t>
  </si>
  <si>
    <t>RODOVAY</t>
  </si>
  <si>
    <t>BONET</t>
  </si>
  <si>
    <t>OLIVERAS</t>
  </si>
  <si>
    <t>PUIGNAU</t>
  </si>
  <si>
    <t>PLAJA</t>
  </si>
  <si>
    <t>MASDEVALL</t>
  </si>
  <si>
    <t>PUJOL</t>
  </si>
  <si>
    <t>CUFFI</t>
  </si>
  <si>
    <t>ESCOBAR</t>
  </si>
  <si>
    <t>CALERO</t>
  </si>
  <si>
    <t>NJENTHIEU</t>
  </si>
  <si>
    <t>COULIBALY</t>
  </si>
  <si>
    <t>DARBOE</t>
  </si>
  <si>
    <t>TKEMALADZE</t>
  </si>
  <si>
    <t>FOFANA</t>
  </si>
  <si>
    <t>BALDEH</t>
  </si>
  <si>
    <t>HERNANDEZ</t>
  </si>
  <si>
    <t>JALLOW</t>
  </si>
  <si>
    <t>GUERIN</t>
  </si>
  <si>
    <t>CABARROCAS</t>
  </si>
  <si>
    <t>ISAAC</t>
  </si>
  <si>
    <t>CEJUDO</t>
  </si>
  <si>
    <t>TOURE</t>
  </si>
  <si>
    <t>CAMPS</t>
  </si>
  <si>
    <t>SAN NICOLAS</t>
  </si>
  <si>
    <t>MATEO</t>
  </si>
  <si>
    <t>NUALART</t>
  </si>
  <si>
    <t>GANO</t>
  </si>
  <si>
    <t>OUEDRAOGO</t>
  </si>
  <si>
    <t>CLAVER</t>
  </si>
  <si>
    <t>ESPAÑOL</t>
  </si>
  <si>
    <t>DOMINGUES</t>
  </si>
  <si>
    <t>BLANCO</t>
  </si>
  <si>
    <t>LERAT</t>
  </si>
  <si>
    <t>OFKIR</t>
  </si>
  <si>
    <t>LOPEZ</t>
  </si>
  <si>
    <t>ABDOUL</t>
  </si>
  <si>
    <t>MUÑOZ</t>
  </si>
  <si>
    <t>DABO</t>
  </si>
  <si>
    <t>SOUNKALO</t>
  </si>
  <si>
    <t>SELGA</t>
  </si>
  <si>
    <t>TEJERO</t>
  </si>
  <si>
    <t>BABA</t>
  </si>
  <si>
    <t>DRAME</t>
  </si>
  <si>
    <t>ROIG</t>
  </si>
  <si>
    <t>DIALLO</t>
  </si>
  <si>
    <t>CROUS</t>
  </si>
  <si>
    <t>OMEDES</t>
  </si>
  <si>
    <t>DAMIAN</t>
  </si>
  <si>
    <t>MBALLO</t>
  </si>
  <si>
    <t>MAGIRAGA</t>
  </si>
  <si>
    <t>DIARRA</t>
  </si>
  <si>
    <t>GOUEM</t>
  </si>
  <si>
    <t>BARBOSA</t>
  </si>
  <si>
    <t>LUQUE</t>
  </si>
  <si>
    <t>SOLA</t>
  </si>
  <si>
    <t>GASSAMA</t>
  </si>
  <si>
    <t>CAMARA</t>
  </si>
  <si>
    <t>REYES</t>
  </si>
  <si>
    <t>MONTIEL</t>
  </si>
  <si>
    <t>EL</t>
  </si>
  <si>
    <t>LLEIXA</t>
  </si>
  <si>
    <t>PEREZ</t>
  </si>
  <si>
    <t>DUCA</t>
  </si>
  <si>
    <t>SILLAH</t>
  </si>
  <si>
    <t>AIT</t>
  </si>
  <si>
    <t>BARRIOS</t>
  </si>
  <si>
    <t>CASADEMONT</t>
  </si>
  <si>
    <t>PEDRAZA</t>
  </si>
  <si>
    <t>PIÑAR</t>
  </si>
  <si>
    <t>ANDREOTTI</t>
  </si>
  <si>
    <t>MAHAMADOU</t>
  </si>
  <si>
    <t>RAMIREZ</t>
  </si>
  <si>
    <t>GRACIA</t>
  </si>
  <si>
    <t>VALLEJOS</t>
  </si>
  <si>
    <t>SILVA</t>
  </si>
  <si>
    <t>BAGUE</t>
  </si>
  <si>
    <t>KWAKU</t>
  </si>
  <si>
    <t>AKHACHIOU</t>
  </si>
  <si>
    <t>OLIVA</t>
  </si>
  <si>
    <t>NIMAGA</t>
  </si>
  <si>
    <t>GALEAS</t>
  </si>
  <si>
    <t>GOMEZ</t>
  </si>
  <si>
    <t>KHOUYAOUI</t>
  </si>
  <si>
    <t>SALADELAFONT</t>
  </si>
  <si>
    <t>ROGER</t>
  </si>
  <si>
    <t>VARGAS</t>
  </si>
  <si>
    <t>CEESAY</t>
  </si>
  <si>
    <t>REDONDO</t>
  </si>
  <si>
    <t>OSORTO</t>
  </si>
  <si>
    <t>DIAWARA</t>
  </si>
  <si>
    <t>WAGGEH</t>
  </si>
  <si>
    <t>PIJOAN</t>
  </si>
  <si>
    <t>AGUILERA</t>
  </si>
  <si>
    <t>GALVEZ</t>
  </si>
  <si>
    <t>ORTIZ</t>
  </si>
  <si>
    <t>HERRERA</t>
  </si>
  <si>
    <t>RAINS</t>
  </si>
  <si>
    <t>GENER</t>
  </si>
  <si>
    <t>SITJA</t>
  </si>
  <si>
    <t>SERRANO</t>
  </si>
  <si>
    <t>PUIG</t>
  </si>
  <si>
    <t>VALLS</t>
  </si>
  <si>
    <t>GONZALEZ</t>
  </si>
  <si>
    <t>FABIENNE</t>
  </si>
  <si>
    <t>CARRERAS</t>
  </si>
  <si>
    <t>MORE</t>
  </si>
  <si>
    <t>ROCA</t>
  </si>
  <si>
    <t>TORREDEFLOT</t>
  </si>
  <si>
    <t>SOT</t>
  </si>
  <si>
    <t>VALLE</t>
  </si>
  <si>
    <t>YAÑEZ</t>
  </si>
  <si>
    <t>GERVAIS</t>
  </si>
  <si>
    <t>OUMAR</t>
  </si>
  <si>
    <t>KARIM</t>
  </si>
  <si>
    <t>MIKHEILI</t>
  </si>
  <si>
    <t>YAHYA</t>
  </si>
  <si>
    <t>MUHAMADOU</t>
  </si>
  <si>
    <t>ARQUERO</t>
  </si>
  <si>
    <t>YUNUSA</t>
  </si>
  <si>
    <t>PONT</t>
  </si>
  <si>
    <t>MIAS</t>
  </si>
  <si>
    <t>LAURENT</t>
  </si>
  <si>
    <t>PEIRO</t>
  </si>
  <si>
    <t>VAZQUEZ</t>
  </si>
  <si>
    <t>MARQUEZ</t>
  </si>
  <si>
    <t>BOUBACAR</t>
  </si>
  <si>
    <t>PONS</t>
  </si>
  <si>
    <t>BOIX</t>
  </si>
  <si>
    <t>DEMBA</t>
  </si>
  <si>
    <t>ADAMA</t>
  </si>
  <si>
    <t>CLAVERO</t>
  </si>
  <si>
    <t>PUBILL</t>
  </si>
  <si>
    <t>VERRUGA</t>
  </si>
  <si>
    <t>CUENCA</t>
  </si>
  <si>
    <t>CERVERA</t>
  </si>
  <si>
    <t>YOUSSEF</t>
  </si>
  <si>
    <t>RAHIM</t>
  </si>
  <si>
    <t>CABALLERO</t>
  </si>
  <si>
    <t>KONATÉ</t>
  </si>
  <si>
    <t>DENA</t>
  </si>
  <si>
    <t>MOLINE</t>
  </si>
  <si>
    <t>RODRIGUEZ</t>
  </si>
  <si>
    <t>SOUKOUNA</t>
  </si>
  <si>
    <t>FOUSSENY</t>
  </si>
  <si>
    <t>MARTIN</t>
  </si>
  <si>
    <t>ABDOULLAY</t>
  </si>
  <si>
    <t>SOY</t>
  </si>
  <si>
    <t>SABIO</t>
  </si>
  <si>
    <t>RIGAU</t>
  </si>
  <si>
    <t>VILLEGAS</t>
  </si>
  <si>
    <t>MAMADOU</t>
  </si>
  <si>
    <t>MOHAMADOU</t>
  </si>
  <si>
    <t>INCHY</t>
  </si>
  <si>
    <t>TIDIANE</t>
  </si>
  <si>
    <t>SOLE</t>
  </si>
  <si>
    <t>NADAL</t>
  </si>
  <si>
    <t>BAKARY</t>
  </si>
  <si>
    <t>GIMENEZ</t>
  </si>
  <si>
    <t>MACIAS</t>
  </si>
  <si>
    <t>JADDAOUI</t>
  </si>
  <si>
    <t>GIORGI</t>
  </si>
  <si>
    <t>I</t>
  </si>
  <si>
    <t>QUILEZ</t>
  </si>
  <si>
    <t>GHEORGHE-ROB</t>
  </si>
  <si>
    <t>JAMBARA</t>
  </si>
  <si>
    <t>OUARAB</t>
  </si>
  <si>
    <t>ROPERO</t>
  </si>
  <si>
    <t>RIFA</t>
  </si>
  <si>
    <t>PASCUAL</t>
  </si>
  <si>
    <t>ILLA</t>
  </si>
  <si>
    <t>CABA</t>
  </si>
  <si>
    <t>NARDI</t>
  </si>
  <si>
    <t>BALDE</t>
  </si>
  <si>
    <t>GARBEY</t>
  </si>
  <si>
    <t>RETORTILLO</t>
  </si>
  <si>
    <t>VILLALBA</t>
  </si>
  <si>
    <t>GARCIA-CONSU</t>
  </si>
  <si>
    <t>ASIEDU</t>
  </si>
  <si>
    <t>ABDERRAHIM</t>
  </si>
  <si>
    <t>ALVAREZ</t>
  </si>
  <si>
    <t>KASSIM</t>
  </si>
  <si>
    <t>DIAKITE</t>
  </si>
  <si>
    <t>SULAYMANE</t>
  </si>
  <si>
    <t>FERRERA</t>
  </si>
  <si>
    <t>RUIZ</t>
  </si>
  <si>
    <t>AYOUB</t>
  </si>
  <si>
    <t>DIAZ</t>
  </si>
  <si>
    <t>AURORA</t>
  </si>
  <si>
    <t>SANKAREH</t>
  </si>
  <si>
    <t>RODAS</t>
  </si>
  <si>
    <t>DJIBRIL</t>
  </si>
  <si>
    <t>BUSSOT</t>
  </si>
  <si>
    <t>SAMITIER</t>
  </si>
  <si>
    <t>YOLANDA</t>
  </si>
  <si>
    <t>DANIEL JOSE</t>
  </si>
  <si>
    <t>SUSANA</t>
  </si>
  <si>
    <t>DAVID</t>
  </si>
  <si>
    <t>GERARD</t>
  </si>
  <si>
    <t>ELENA</t>
  </si>
  <si>
    <t>NICOLAS</t>
  </si>
  <si>
    <t>ANGEL</t>
  </si>
  <si>
    <t>JUAN</t>
  </si>
  <si>
    <t>ALBERTO</t>
  </si>
  <si>
    <t>SERGI</t>
  </si>
  <si>
    <t>MARC</t>
  </si>
  <si>
    <t>EDUARDO</t>
  </si>
  <si>
    <t>JOAN</t>
  </si>
  <si>
    <t>JORDI</t>
  </si>
  <si>
    <t>ANTONI</t>
  </si>
  <si>
    <t>BEATRIZ</t>
  </si>
  <si>
    <t>XAVIER</t>
  </si>
  <si>
    <t>FRANCESC XAV</t>
  </si>
  <si>
    <t>JOSE</t>
  </si>
  <si>
    <t>LLIBORI</t>
  </si>
  <si>
    <t>ROSA MARIA</t>
  </si>
  <si>
    <t>DANIEL</t>
  </si>
  <si>
    <t>FELIPE ELADI</t>
  </si>
  <si>
    <t>FRANCESC X</t>
  </si>
  <si>
    <t>ALEJANDRO</t>
  </si>
  <si>
    <t>EUFEMIO</t>
  </si>
  <si>
    <t>CARLA</t>
  </si>
  <si>
    <t>EVA</t>
  </si>
  <si>
    <t>MERITXELL</t>
  </si>
  <si>
    <t>LUDOVICO JOA</t>
  </si>
  <si>
    <t>JEAN MARIE</t>
  </si>
  <si>
    <t>IZAN</t>
  </si>
  <si>
    <t>COMPAORE</t>
  </si>
  <si>
    <t>BRIAN</t>
  </si>
  <si>
    <t>FODE ASSANE</t>
  </si>
  <si>
    <t>JAUME</t>
  </si>
  <si>
    <t>MADI</t>
  </si>
  <si>
    <t>MONTSERRAT</t>
  </si>
  <si>
    <t>LIDIA</t>
  </si>
  <si>
    <t>MARIO</t>
  </si>
  <si>
    <t>PAULA</t>
  </si>
  <si>
    <t>PAU</t>
  </si>
  <si>
    <t>ANNA</t>
  </si>
  <si>
    <t>RAUL</t>
  </si>
  <si>
    <t>ROBERT</t>
  </si>
  <si>
    <t>FRANCISCO</t>
  </si>
  <si>
    <t>ALFONSO</t>
  </si>
  <si>
    <t>BOUJATTOUY S</t>
  </si>
  <si>
    <t>PONT, ORIOL</t>
  </si>
  <si>
    <t>ALEXANDRE</t>
  </si>
  <si>
    <t>SAIHOU</t>
  </si>
  <si>
    <t>LUCIA</t>
  </si>
  <si>
    <t>ARIADNA</t>
  </si>
  <si>
    <t>ORIOL</t>
  </si>
  <si>
    <t>AITANA</t>
  </si>
  <si>
    <t>MARIA TERESA</t>
  </si>
  <si>
    <t>MARIA MARCEL</t>
  </si>
  <si>
    <t>YORLENIS ORL</t>
  </si>
  <si>
    <t>POL</t>
  </si>
  <si>
    <t>EDWARD JAIR</t>
  </si>
  <si>
    <t>ANTONIO</t>
  </si>
  <si>
    <t>CARLES</t>
  </si>
  <si>
    <t>EMMANUEL</t>
  </si>
  <si>
    <t>MARIA CARMEN</t>
  </si>
  <si>
    <t>BRUNO</t>
  </si>
  <si>
    <t>SAIBOU MALIC</t>
  </si>
  <si>
    <t>LORENA MARIS</t>
  </si>
  <si>
    <t>SERGIO</t>
  </si>
  <si>
    <t>CUBERO, JACO</t>
  </si>
  <si>
    <t>JONATAN</t>
  </si>
  <si>
    <t>ABOU</t>
  </si>
  <si>
    <t>PERTEGAS, GE</t>
  </si>
  <si>
    <t>ANA</t>
  </si>
  <si>
    <t>LLUIS</t>
  </si>
  <si>
    <t>CONCEPTE</t>
  </si>
  <si>
    <t>SALARI BASE</t>
  </si>
  <si>
    <t>OBERTURA NOVA BOTIGA</t>
  </si>
  <si>
    <t>PRESENCIA I IMATGE</t>
  </si>
  <si>
    <t>PLUS PERILLOSITAT</t>
  </si>
  <si>
    <t>PLUS UTILITZ I MANT.MÀQU</t>
  </si>
  <si>
    <t>PLUS RESPONSABILITAT</t>
  </si>
  <si>
    <t>PLUS DISPONIBILITAT</t>
  </si>
  <si>
    <t>REGULARITZACIO</t>
  </si>
  <si>
    <t>ACCIDENT CONVENI</t>
  </si>
  <si>
    <t>MILLORA SALARIAL ABSORBI</t>
  </si>
  <si>
    <t>VEHICLE</t>
  </si>
  <si>
    <t>MILLORA VOLUNTARIA ABSOR</t>
  </si>
  <si>
    <t>PP PAGA ESTIU</t>
  </si>
  <si>
    <t>PP PAGA NADAL</t>
  </si>
  <si>
    <t>PP PAGA BENEFICIS</t>
  </si>
  <si>
    <t>PLUS NOCTURNITAT</t>
  </si>
  <si>
    <t>A CTE CONVENI</t>
  </si>
  <si>
    <t>PART PROPORCIONAL VACANC</t>
  </si>
  <si>
    <t>COMP NO COMPETENCIA</t>
  </si>
  <si>
    <t>OBJECTIU VARIABLE</t>
  </si>
  <si>
    <t>PAGA FIDELITAT</t>
  </si>
  <si>
    <t>PLUS DISPONIBILI</t>
  </si>
  <si>
    <t>PLUS PRODUCTIV.</t>
  </si>
  <si>
    <t>PLUS PRODUCTIV.2</t>
  </si>
  <si>
    <t>PLUS SAL VOLUNTARI</t>
  </si>
  <si>
    <t>COMISSIONS</t>
  </si>
  <si>
    <t>PLUS DISTANCIA</t>
  </si>
  <si>
    <t>PREST.MALALTIA CARGO EMP</t>
  </si>
  <si>
    <t>MALALTIA</t>
  </si>
  <si>
    <t>ACCIDENTE</t>
  </si>
  <si>
    <t>COMPLEMENT I.T.</t>
  </si>
  <si>
    <t>KM EXEMPT</t>
  </si>
  <si>
    <t>IMP.INGR. A CTA. ESP. CG</t>
  </si>
  <si>
    <t>TOTAL BRUT</t>
  </si>
  <si>
    <t>EMBARGO SALARIAL</t>
  </si>
  <si>
    <t>DESCOMPTE PRESTEC 1</t>
  </si>
  <si>
    <t>BESTRETA</t>
  </si>
  <si>
    <t>Bestreta peix</t>
  </si>
  <si>
    <t>DIFERENCIES NOMINA MES A</t>
  </si>
  <si>
    <t>DCTO.CONCEPTES EN ESPECI</t>
  </si>
  <si>
    <t>IMP.INGR.A CTA.VALORES E</t>
  </si>
  <si>
    <t>COTITZACIO CONT.COMUNS</t>
  </si>
  <si>
    <t>COTITZACIO FORMACIO PROF</t>
  </si>
  <si>
    <t>COTITZACIO ATUR</t>
  </si>
  <si>
    <t>TRIBUTACIO I.R.P.F.</t>
  </si>
  <si>
    <t>TOTAL DEDUCCIONS</t>
  </si>
  <si>
    <t>TOTAL LIQUID</t>
  </si>
  <si>
    <t>PRORRATEIG PAGUES EXTRES</t>
  </si>
  <si>
    <t>SEGURETAT SOCIAL EMPRESA</t>
  </si>
  <si>
    <t>SEGURETAT SOC. TREBALLADOR</t>
  </si>
  <si>
    <t>SEGURETAT SOC. TOTAL</t>
  </si>
  <si>
    <t>COST COLAB. VOLUNTARIA</t>
  </si>
  <si>
    <t>APORTAC. SERVEIS COMUNS</t>
  </si>
  <si>
    <t>COST EMPRESA</t>
  </si>
  <si>
    <t>BASE CONTINGENCIES COMUNS</t>
  </si>
  <si>
    <t>BASE ACCIDENTS</t>
  </si>
  <si>
    <t>BASE I.R.P.F. DINERARIA</t>
  </si>
  <si>
    <t>BASE I.R.P.F. ESPECIES</t>
  </si>
  <si>
    <t>BASE I.R.P.F. IRREGULAR</t>
  </si>
  <si>
    <t>HORES EXTRES NORMALS</t>
  </si>
  <si>
    <t>HORES EXTRES ESTRUCTURALS</t>
  </si>
  <si>
    <t>HORES PRESENCIA</t>
  </si>
  <si>
    <t>DIES DESOCUPACIO PARCIAL</t>
  </si>
  <si>
    <t>IMPORT BONIFICACIO</t>
  </si>
  <si>
    <t>DIES COTITZATS</t>
  </si>
  <si>
    <t>TOTAL</t>
  </si>
  <si>
    <t>PEIXOS PUIGNAU S.A.</t>
  </si>
  <si>
    <t>TOTAL TREBALLADORS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</si>
</sst>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;\-#,###,###;"/>
    <numFmt numFmtId="165" formatCode="#,###,##0.00;\-#,###,##0.00;"/>
  </numFmts>
  <fonts count="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164" fontId="1" fillId="0" borderId="3" xfId="0" applyNumberFormat="1" applyFont="1" applyBorder="1"/>
    <xf numFmtId="164" fontId="1" fillId="0" borderId="8" xfId="0" applyNumberFormat="1" applyFont="1" applyBorder="1"/>
    <xf numFmtId="165" fontId="1" fillId="0" borderId="8" xfId="0" applyNumberFormat="1" applyFont="1" applyBorder="1"/>
    <xf numFmtId="165" fontId="1" fillId="0" borderId="6" xfId="0" applyNumberFormat="1" applyFont="1" applyBorder="1"/>
    <xf numFmtId="0" fontId="2" fillId="0" borderId="9" xfId="0" quotePrefix="1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0" xfId="0" quotePrefix="1" applyFont="1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65" fontId="1" fillId="0" borderId="12" xfId="0" applyNumberFormat="1" applyFont="1" applyBorder="1"/>
    <xf numFmtId="165" fontId="1" fillId="0" borderId="13" xfId="0" applyNumberFormat="1" applyFont="1" applyBorder="1"/>
    <xf numFmtId="0" fontId="2" fillId="0" borderId="14" xfId="0" quotePrefix="1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165" fontId="1" fillId="0" borderId="16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18" xfId="0" applyNumberFormat="1" applyFont="1" applyBorder="1"/>
    <xf numFmtId="164" fontId="1" fillId="0" borderId="19" xfId="0" applyNumberFormat="1" applyFont="1" applyBorder="1"/>
    <xf numFmtId="165" fontId="1" fillId="0" borderId="19" xfId="0" applyNumberFormat="1" applyFont="1" applyBorder="1"/>
    <xf numFmtId="164" fontId="1" fillId="0" borderId="20" xfId="0" applyNumberFormat="1" applyFont="1" applyBorder="1"/>
    <xf numFmtId="0" fontId="2" fillId="0" borderId="2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6D06-D0B3-435C-8B84-B077A787BF35}">
  <sheetPr>
    <pageSetUpPr fitToPage="1"/>
  </sheetPr>
  <dimension ref="A1:DL80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9.1640625" defaultRowHeight="12" customHeight="1" x14ac:dyDescent="0.2"/>
  <cols>
    <col min="1" max="1" width="1.6640625" customWidth="1"/>
    <col min="2" max="2" width="4.6640625" customWidth="1"/>
    <col min="3" max="3" width="56.6640625" customWidth="1"/>
    <col min="4" max="116" width="12.6640625" customWidth="1"/>
  </cols>
  <sheetData>
    <row r="1" spans="1:116" ht="12" customHeight="1" x14ac:dyDescent="0.2">
      <c r="A1" s="1"/>
      <c r="B1" s="2"/>
      <c r="C1" s="2"/>
    </row>
    <row r="2" spans="1:116" ht="12" customHeight="1" x14ac:dyDescent="0.2">
      <c r="A2" s="1" t="s">
        <v>0</v>
      </c>
      <c r="B2" s="2"/>
      <c r="C2" s="2"/>
    </row>
    <row r="3" spans="1:116" ht="12" customHeight="1" thickBot="1" x14ac:dyDescent="0.25">
      <c r="A3" s="1" t="s">
        <v>1</v>
      </c>
      <c r="B3" s="2"/>
      <c r="C3" s="2"/>
    </row>
    <row r="4" spans="1:116" ht="13" customHeight="1" thickTop="1" thickBot="1" x14ac:dyDescent="0.25">
      <c r="A4" s="1" t="s">
        <v>2</v>
      </c>
      <c r="B4" s="2"/>
      <c r="C4" s="6"/>
      <c r="D4" s="20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28" t="s">
        <v>12</v>
      </c>
      <c r="M4" s="28" t="s">
        <v>13</v>
      </c>
      <c r="N4" s="28" t="s">
        <v>14</v>
      </c>
      <c r="O4" s="28" t="s">
        <v>15</v>
      </c>
      <c r="P4" s="28" t="s">
        <v>16</v>
      </c>
      <c r="Q4" s="28" t="s">
        <v>17</v>
      </c>
      <c r="R4" s="28" t="s">
        <v>18</v>
      </c>
      <c r="S4" s="28" t="s">
        <v>19</v>
      </c>
      <c r="T4" s="28" t="s">
        <v>20</v>
      </c>
      <c r="U4" s="28" t="s">
        <v>21</v>
      </c>
      <c r="V4" s="28" t="s">
        <v>22</v>
      </c>
      <c r="W4" s="28" t="s">
        <v>23</v>
      </c>
      <c r="X4" s="28" t="s">
        <v>24</v>
      </c>
      <c r="Y4" s="28" t="s">
        <v>25</v>
      </c>
      <c r="Z4" s="28" t="s">
        <v>26</v>
      </c>
      <c r="AA4" s="28" t="s">
        <v>27</v>
      </c>
      <c r="AB4" s="28" t="s">
        <v>28</v>
      </c>
      <c r="AC4" s="28" t="s">
        <v>29</v>
      </c>
      <c r="AD4" s="28" t="s">
        <v>30</v>
      </c>
      <c r="AE4" s="28" t="s">
        <v>31</v>
      </c>
      <c r="AF4" s="28" t="s">
        <v>32</v>
      </c>
      <c r="AG4" s="28" t="s">
        <v>33</v>
      </c>
      <c r="AH4" s="28" t="s">
        <v>34</v>
      </c>
      <c r="AI4" s="28" t="s">
        <v>35</v>
      </c>
      <c r="AJ4" s="28" t="s">
        <v>36</v>
      </c>
      <c r="AK4" s="28" t="s">
        <v>37</v>
      </c>
      <c r="AL4" s="28" t="s">
        <v>38</v>
      </c>
      <c r="AM4" s="28" t="s">
        <v>39</v>
      </c>
      <c r="AN4" s="28" t="s">
        <v>40</v>
      </c>
      <c r="AO4" s="28" t="s">
        <v>41</v>
      </c>
      <c r="AP4" s="28" t="s">
        <v>42</v>
      </c>
      <c r="AQ4" s="28" t="s">
        <v>43</v>
      </c>
      <c r="AR4" s="28" t="s">
        <v>44</v>
      </c>
      <c r="AS4" s="28" t="s">
        <v>45</v>
      </c>
      <c r="AT4" s="28" t="s">
        <v>46</v>
      </c>
      <c r="AU4" s="28" t="s">
        <v>47</v>
      </c>
      <c r="AV4" s="28" t="s">
        <v>48</v>
      </c>
      <c r="AW4" s="28" t="s">
        <v>49</v>
      </c>
      <c r="AX4" s="28" t="s">
        <v>50</v>
      </c>
      <c r="AY4" s="28" t="s">
        <v>51</v>
      </c>
      <c r="AZ4" s="28" t="s">
        <v>52</v>
      </c>
      <c r="BA4" s="28" t="s">
        <v>53</v>
      </c>
      <c r="BB4" s="28" t="s">
        <v>54</v>
      </c>
      <c r="BC4" s="28" t="s">
        <v>55</v>
      </c>
      <c r="BD4" s="28" t="s">
        <v>56</v>
      </c>
      <c r="BE4" s="28" t="s">
        <v>57</v>
      </c>
      <c r="BF4" s="28" t="s">
        <v>58</v>
      </c>
      <c r="BG4" s="28" t="s">
        <v>59</v>
      </c>
      <c r="BH4" s="28" t="s">
        <v>60</v>
      </c>
      <c r="BI4" s="28" t="s">
        <v>61</v>
      </c>
      <c r="BJ4" s="28" t="s">
        <v>62</v>
      </c>
      <c r="BK4" s="28" t="s">
        <v>63</v>
      </c>
      <c r="BL4" s="28" t="s">
        <v>64</v>
      </c>
      <c r="BM4" s="28" t="s">
        <v>65</v>
      </c>
      <c r="BN4" s="28" t="s">
        <v>66</v>
      </c>
      <c r="BO4" s="28" t="s">
        <v>67</v>
      </c>
      <c r="BP4" s="28" t="s">
        <v>68</v>
      </c>
      <c r="BQ4" s="28" t="s">
        <v>69</v>
      </c>
      <c r="BR4" s="28" t="s">
        <v>70</v>
      </c>
      <c r="BS4" s="28" t="s">
        <v>71</v>
      </c>
      <c r="BT4" s="28" t="s">
        <v>72</v>
      </c>
      <c r="BU4" s="28" t="s">
        <v>73</v>
      </c>
      <c r="BV4" s="28" t="s">
        <v>74</v>
      </c>
      <c r="BW4" s="28" t="s">
        <v>75</v>
      </c>
      <c r="BX4" s="28" t="s">
        <v>76</v>
      </c>
      <c r="BY4" s="28" t="s">
        <v>77</v>
      </c>
      <c r="BZ4" s="28" t="s">
        <v>78</v>
      </c>
      <c r="CA4" s="28" t="s">
        <v>79</v>
      </c>
      <c r="CB4" s="28" t="s">
        <v>80</v>
      </c>
      <c r="CC4" s="28" t="s">
        <v>81</v>
      </c>
      <c r="CD4" s="28" t="s">
        <v>82</v>
      </c>
      <c r="CE4" s="28" t="s">
        <v>83</v>
      </c>
      <c r="CF4" s="28" t="s">
        <v>84</v>
      </c>
      <c r="CG4" s="28" t="s">
        <v>85</v>
      </c>
      <c r="CH4" s="28" t="s">
        <v>86</v>
      </c>
      <c r="CI4" s="28" t="s">
        <v>87</v>
      </c>
      <c r="CJ4" s="28" t="s">
        <v>88</v>
      </c>
      <c r="CK4" s="28" t="s">
        <v>89</v>
      </c>
      <c r="CL4" s="28" t="s">
        <v>90</v>
      </c>
      <c r="CM4" s="28" t="s">
        <v>91</v>
      </c>
      <c r="CN4" s="28" t="s">
        <v>92</v>
      </c>
      <c r="CO4" s="28" t="s">
        <v>93</v>
      </c>
      <c r="CP4" s="28" t="s">
        <v>94</v>
      </c>
      <c r="CQ4" s="28" t="s">
        <v>95</v>
      </c>
      <c r="CR4" s="28" t="s">
        <v>96</v>
      </c>
      <c r="CS4" s="28" t="s">
        <v>97</v>
      </c>
      <c r="CT4" s="28" t="s">
        <v>98</v>
      </c>
      <c r="CU4" s="28" t="s">
        <v>99</v>
      </c>
      <c r="CV4" s="28" t="s">
        <v>100</v>
      </c>
      <c r="CW4" s="28" t="s">
        <v>101</v>
      </c>
      <c r="CX4" s="28" t="s">
        <v>102</v>
      </c>
      <c r="CY4" s="28" t="s">
        <v>103</v>
      </c>
      <c r="CZ4" s="28" t="s">
        <v>104</v>
      </c>
      <c r="DA4" s="28" t="s">
        <v>105</v>
      </c>
      <c r="DB4" s="28" t="s">
        <v>106</v>
      </c>
      <c r="DC4" s="28" t="s">
        <v>107</v>
      </c>
      <c r="DD4" s="28" t="s">
        <v>108</v>
      </c>
      <c r="DE4" s="28" t="s">
        <v>109</v>
      </c>
      <c r="DF4" s="28" t="s">
        <v>110</v>
      </c>
      <c r="DG4" s="28" t="s">
        <v>111</v>
      </c>
      <c r="DH4" s="28" t="s">
        <v>112</v>
      </c>
      <c r="DI4" s="28" t="s">
        <v>113</v>
      </c>
      <c r="DJ4" s="28" t="s">
        <v>114</v>
      </c>
      <c r="DK4" s="28" t="s">
        <v>115</v>
      </c>
      <c r="DL4" s="11" t="s">
        <v>116</v>
      </c>
    </row>
    <row r="5" spans="1:116" ht="12" customHeight="1" thickTop="1" x14ac:dyDescent="0.2">
      <c r="A5" s="1" t="s">
        <v>3</v>
      </c>
      <c r="B5" s="2"/>
      <c r="C5" s="6"/>
      <c r="D5" s="21" t="s">
        <v>117</v>
      </c>
      <c r="E5" s="29" t="s">
        <v>118</v>
      </c>
      <c r="F5" s="29" t="s">
        <v>119</v>
      </c>
      <c r="G5" s="29" t="s">
        <v>120</v>
      </c>
      <c r="H5" s="29" t="s">
        <v>121</v>
      </c>
      <c r="I5" s="29" t="s">
        <v>122</v>
      </c>
      <c r="J5" s="29" t="s">
        <v>123</v>
      </c>
      <c r="K5" s="29" t="s">
        <v>121</v>
      </c>
      <c r="L5" s="29" t="s">
        <v>124</v>
      </c>
      <c r="M5" s="29" t="s">
        <v>125</v>
      </c>
      <c r="N5" s="29" t="s">
        <v>126</v>
      </c>
      <c r="O5" s="29" t="s">
        <v>127</v>
      </c>
      <c r="P5" s="29" t="s">
        <v>128</v>
      </c>
      <c r="Q5" s="29" t="s">
        <v>129</v>
      </c>
      <c r="R5" s="29" t="s">
        <v>130</v>
      </c>
      <c r="S5" s="29" t="s">
        <v>131</v>
      </c>
      <c r="T5" s="29" t="s">
        <v>132</v>
      </c>
      <c r="U5" s="29" t="s">
        <v>133</v>
      </c>
      <c r="V5" s="29" t="s">
        <v>134</v>
      </c>
      <c r="W5" s="29" t="s">
        <v>135</v>
      </c>
      <c r="X5" s="29" t="s">
        <v>136</v>
      </c>
      <c r="Y5" s="29" t="s">
        <v>137</v>
      </c>
      <c r="Z5" s="29" t="s">
        <v>138</v>
      </c>
      <c r="AA5" s="29" t="s">
        <v>139</v>
      </c>
      <c r="AB5" s="29" t="s">
        <v>140</v>
      </c>
      <c r="AC5" s="29" t="s">
        <v>141</v>
      </c>
      <c r="AD5" s="29" t="s">
        <v>142</v>
      </c>
      <c r="AE5" s="29" t="s">
        <v>121</v>
      </c>
      <c r="AF5" s="29" t="s">
        <v>128</v>
      </c>
      <c r="AG5" s="29" t="s">
        <v>128</v>
      </c>
      <c r="AH5" s="29" t="s">
        <v>143</v>
      </c>
      <c r="AI5" s="29" t="s">
        <v>144</v>
      </c>
      <c r="AJ5" s="29" t="s">
        <v>145</v>
      </c>
      <c r="AK5" s="29" t="s">
        <v>146</v>
      </c>
      <c r="AL5" s="29" t="s">
        <v>147</v>
      </c>
      <c r="AM5" s="29" t="s">
        <v>148</v>
      </c>
      <c r="AN5" s="29" t="s">
        <v>149</v>
      </c>
      <c r="AO5" s="29" t="s">
        <v>150</v>
      </c>
      <c r="AP5" s="29" t="s">
        <v>151</v>
      </c>
      <c r="AQ5" s="29" t="s">
        <v>152</v>
      </c>
      <c r="AR5" s="29" t="s">
        <v>153</v>
      </c>
      <c r="AS5" s="29" t="s">
        <v>154</v>
      </c>
      <c r="AT5" s="29" t="s">
        <v>155</v>
      </c>
      <c r="AU5" s="29" t="s">
        <v>156</v>
      </c>
      <c r="AV5" s="29" t="s">
        <v>157</v>
      </c>
      <c r="AW5" s="29" t="s">
        <v>158</v>
      </c>
      <c r="AX5" s="29" t="s">
        <v>159</v>
      </c>
      <c r="AY5" s="29" t="s">
        <v>160</v>
      </c>
      <c r="AZ5" s="29" t="s">
        <v>161</v>
      </c>
      <c r="BA5" s="29" t="s">
        <v>162</v>
      </c>
      <c r="BB5" s="29" t="s">
        <v>163</v>
      </c>
      <c r="BC5" s="29" t="s">
        <v>164</v>
      </c>
      <c r="BD5" s="29" t="s">
        <v>165</v>
      </c>
      <c r="BE5" s="29" t="s">
        <v>166</v>
      </c>
      <c r="BF5" s="29" t="s">
        <v>167</v>
      </c>
      <c r="BG5" s="29" t="s">
        <v>168</v>
      </c>
      <c r="BH5" s="29" t="s">
        <v>169</v>
      </c>
      <c r="BI5" s="29" t="s">
        <v>170</v>
      </c>
      <c r="BJ5" s="29" t="s">
        <v>171</v>
      </c>
      <c r="BK5" s="29" t="s">
        <v>117</v>
      </c>
      <c r="BL5" s="29" t="s">
        <v>172</v>
      </c>
      <c r="BM5" s="29" t="s">
        <v>173</v>
      </c>
      <c r="BN5" s="29" t="s">
        <v>174</v>
      </c>
      <c r="BO5" s="29" t="s">
        <v>175</v>
      </c>
      <c r="BP5" s="29" t="s">
        <v>176</v>
      </c>
      <c r="BQ5" s="29" t="s">
        <v>177</v>
      </c>
      <c r="BR5" s="29" t="s">
        <v>178</v>
      </c>
      <c r="BS5" s="29" t="s">
        <v>179</v>
      </c>
      <c r="BT5" s="29" t="s">
        <v>180</v>
      </c>
      <c r="BU5" s="29" t="s">
        <v>181</v>
      </c>
      <c r="BV5" s="29" t="s">
        <v>182</v>
      </c>
      <c r="BW5" s="29" t="s">
        <v>183</v>
      </c>
      <c r="BX5" s="29" t="s">
        <v>184</v>
      </c>
      <c r="BY5" s="29" t="s">
        <v>185</v>
      </c>
      <c r="BZ5" s="29" t="s">
        <v>138</v>
      </c>
      <c r="CA5" s="29" t="s">
        <v>128</v>
      </c>
      <c r="CB5" s="29" t="s">
        <v>186</v>
      </c>
      <c r="CC5" s="29" t="s">
        <v>187</v>
      </c>
      <c r="CD5" s="29" t="s">
        <v>188</v>
      </c>
      <c r="CE5" s="29" t="s">
        <v>189</v>
      </c>
      <c r="CF5" s="29" t="s">
        <v>190</v>
      </c>
      <c r="CG5" s="29" t="s">
        <v>191</v>
      </c>
      <c r="CH5" s="29" t="s">
        <v>192</v>
      </c>
      <c r="CI5" s="29" t="s">
        <v>193</v>
      </c>
      <c r="CJ5" s="29" t="s">
        <v>194</v>
      </c>
      <c r="CK5" s="29" t="s">
        <v>119</v>
      </c>
      <c r="CL5" s="29" t="s">
        <v>195</v>
      </c>
      <c r="CM5" s="29" t="s">
        <v>196</v>
      </c>
      <c r="CN5" s="29" t="s">
        <v>197</v>
      </c>
      <c r="CO5" s="29" t="s">
        <v>198</v>
      </c>
      <c r="CP5" s="29" t="s">
        <v>199</v>
      </c>
      <c r="CQ5" s="29" t="s">
        <v>200</v>
      </c>
      <c r="CR5" s="29" t="s">
        <v>201</v>
      </c>
      <c r="CS5" s="29" t="s">
        <v>202</v>
      </c>
      <c r="CT5" s="29" t="s">
        <v>203</v>
      </c>
      <c r="CU5" s="29" t="s">
        <v>204</v>
      </c>
      <c r="CV5" s="29" t="s">
        <v>117</v>
      </c>
      <c r="CW5" s="29" t="s">
        <v>170</v>
      </c>
      <c r="CX5" s="29" t="s">
        <v>170</v>
      </c>
      <c r="CY5" s="29" t="s">
        <v>205</v>
      </c>
      <c r="CZ5" s="29" t="s">
        <v>206</v>
      </c>
      <c r="DA5" s="29" t="s">
        <v>207</v>
      </c>
      <c r="DB5" s="29" t="s">
        <v>208</v>
      </c>
      <c r="DC5" s="29" t="s">
        <v>209</v>
      </c>
      <c r="DD5" s="29" t="s">
        <v>210</v>
      </c>
      <c r="DE5" s="29" t="s">
        <v>211</v>
      </c>
      <c r="DF5" s="29" t="s">
        <v>212</v>
      </c>
      <c r="DG5" s="29" t="s">
        <v>213</v>
      </c>
      <c r="DH5" s="29" t="s">
        <v>214</v>
      </c>
      <c r="DI5" s="29" t="s">
        <v>215</v>
      </c>
      <c r="DJ5" s="29" t="s">
        <v>216</v>
      </c>
      <c r="DK5" s="29" t="s">
        <v>217</v>
      </c>
      <c r="DL5" s="3" t="s">
        <v>218</v>
      </c>
    </row>
    <row r="6" spans="1:116" ht="12" customHeight="1" x14ac:dyDescent="0.2">
      <c r="A6" s="1"/>
      <c r="B6" s="2"/>
      <c r="C6" s="6"/>
      <c r="D6" s="22" t="s">
        <v>219</v>
      </c>
      <c r="E6" s="30" t="s">
        <v>220</v>
      </c>
      <c r="F6" s="30" t="s">
        <v>221</v>
      </c>
      <c r="G6" s="30" t="s">
        <v>222</v>
      </c>
      <c r="H6" s="30" t="s">
        <v>223</v>
      </c>
      <c r="I6" s="30" t="s">
        <v>224</v>
      </c>
      <c r="J6" s="30" t="s">
        <v>225</v>
      </c>
      <c r="K6" s="30" t="s">
        <v>226</v>
      </c>
      <c r="L6" s="30" t="s">
        <v>227</v>
      </c>
      <c r="M6" s="30" t="s">
        <v>228</v>
      </c>
      <c r="N6" s="30" t="s">
        <v>229</v>
      </c>
      <c r="O6" s="30" t="s">
        <v>230</v>
      </c>
      <c r="P6" s="30" t="s">
        <v>121</v>
      </c>
      <c r="Q6" s="30" t="s">
        <v>231</v>
      </c>
      <c r="R6" s="30" t="s">
        <v>232</v>
      </c>
      <c r="S6" s="30" t="s">
        <v>233</v>
      </c>
      <c r="T6" s="30" t="s">
        <v>234</v>
      </c>
      <c r="U6" s="30" t="s">
        <v>235</v>
      </c>
      <c r="V6" s="30" t="s">
        <v>236</v>
      </c>
      <c r="W6" s="30" t="s">
        <v>237</v>
      </c>
      <c r="X6" s="30" t="s">
        <v>238</v>
      </c>
      <c r="Y6" s="30" t="s">
        <v>239</v>
      </c>
      <c r="Z6" s="30" t="s">
        <v>240</v>
      </c>
      <c r="AA6" s="30" t="s">
        <v>241</v>
      </c>
      <c r="AB6" s="30" t="s">
        <v>242</v>
      </c>
      <c r="AC6" s="30" t="s">
        <v>243</v>
      </c>
      <c r="AD6" s="30" t="s">
        <v>244</v>
      </c>
      <c r="AE6" s="30" t="s">
        <v>245</v>
      </c>
      <c r="AF6" s="30" t="s">
        <v>246</v>
      </c>
      <c r="AG6" s="30" t="s">
        <v>246</v>
      </c>
      <c r="AH6" s="30" t="s">
        <v>247</v>
      </c>
      <c r="AI6" s="30" t="s">
        <v>248</v>
      </c>
      <c r="AJ6" s="30" t="s">
        <v>249</v>
      </c>
      <c r="AK6" s="30" t="s">
        <v>250</v>
      </c>
      <c r="AL6" s="30" t="s">
        <v>251</v>
      </c>
      <c r="AM6" s="30" t="s">
        <v>252</v>
      </c>
      <c r="AN6" s="30" t="s">
        <v>141</v>
      </c>
      <c r="AO6" s="30" t="s">
        <v>197</v>
      </c>
      <c r="AP6" s="30" t="s">
        <v>253</v>
      </c>
      <c r="AQ6" s="30" t="s">
        <v>254</v>
      </c>
      <c r="AR6" s="30" t="s">
        <v>255</v>
      </c>
      <c r="AS6" s="30" t="s">
        <v>256</v>
      </c>
      <c r="AT6" s="30" t="s">
        <v>257</v>
      </c>
      <c r="AU6" s="30" t="s">
        <v>258</v>
      </c>
      <c r="AV6" s="30" t="s">
        <v>259</v>
      </c>
      <c r="AW6" s="30" t="s">
        <v>260</v>
      </c>
      <c r="AX6" s="30" t="s">
        <v>261</v>
      </c>
      <c r="AY6" s="30" t="s">
        <v>228</v>
      </c>
      <c r="AZ6" s="30" t="s">
        <v>262</v>
      </c>
      <c r="BA6" s="30" t="s">
        <v>263</v>
      </c>
      <c r="BB6" s="30" t="s">
        <v>264</v>
      </c>
      <c r="BC6" s="30" t="s">
        <v>265</v>
      </c>
      <c r="BD6" s="30" t="s">
        <v>266</v>
      </c>
      <c r="BE6" s="30" t="s">
        <v>267</v>
      </c>
      <c r="BF6" s="30" t="s">
        <v>268</v>
      </c>
      <c r="BG6" s="30" t="s">
        <v>269</v>
      </c>
      <c r="BH6" s="30" t="s">
        <v>270</v>
      </c>
      <c r="BI6" s="30" t="s">
        <v>271</v>
      </c>
      <c r="BJ6" s="30" t="s">
        <v>272</v>
      </c>
      <c r="BK6" s="30" t="s">
        <v>273</v>
      </c>
      <c r="BL6" s="30" t="s">
        <v>274</v>
      </c>
      <c r="BM6" s="30" t="s">
        <v>275</v>
      </c>
      <c r="BN6" s="30" t="s">
        <v>276</v>
      </c>
      <c r="BO6" s="30" t="s">
        <v>277</v>
      </c>
      <c r="BP6" s="30" t="s">
        <v>278</v>
      </c>
      <c r="BQ6" s="30" t="s">
        <v>279</v>
      </c>
      <c r="BR6" s="30" t="s">
        <v>280</v>
      </c>
      <c r="BS6" s="30" t="s">
        <v>281</v>
      </c>
      <c r="BT6" s="30" t="s">
        <v>280</v>
      </c>
      <c r="BU6" s="30" t="s">
        <v>282</v>
      </c>
      <c r="BV6" s="30" t="s">
        <v>167</v>
      </c>
      <c r="BW6" s="30" t="s">
        <v>283</v>
      </c>
      <c r="BX6" s="30" t="s">
        <v>284</v>
      </c>
      <c r="BY6" s="30" t="s">
        <v>285</v>
      </c>
      <c r="BZ6" s="30" t="s">
        <v>286</v>
      </c>
      <c r="CA6" s="30" t="s">
        <v>287</v>
      </c>
      <c r="CB6" s="30" t="s">
        <v>129</v>
      </c>
      <c r="CC6" s="30" t="s">
        <v>288</v>
      </c>
      <c r="CD6" s="30" t="s">
        <v>289</v>
      </c>
      <c r="CE6" s="30" t="s">
        <v>290</v>
      </c>
      <c r="CF6" s="30" t="s">
        <v>291</v>
      </c>
      <c r="CG6" s="30" t="s">
        <v>292</v>
      </c>
      <c r="CH6" s="30" t="s">
        <v>293</v>
      </c>
      <c r="CI6" s="30" t="s">
        <v>294</v>
      </c>
      <c r="CJ6" s="30" t="s">
        <v>295</v>
      </c>
      <c r="CK6" s="30" t="s">
        <v>296</v>
      </c>
      <c r="CL6" s="30" t="s">
        <v>297</v>
      </c>
      <c r="CM6" s="30" t="s">
        <v>298</v>
      </c>
      <c r="CN6" s="30" t="s">
        <v>299</v>
      </c>
      <c r="CO6" s="30" t="s">
        <v>300</v>
      </c>
      <c r="CP6" s="30" t="s">
        <v>301</v>
      </c>
      <c r="CQ6" s="30" t="s">
        <v>200</v>
      </c>
      <c r="CR6" s="30" t="s">
        <v>302</v>
      </c>
      <c r="CS6" s="30" t="s">
        <v>303</v>
      </c>
      <c r="CT6" s="30" t="s">
        <v>304</v>
      </c>
      <c r="CU6" s="30" t="s">
        <v>305</v>
      </c>
      <c r="CV6" s="30" t="s">
        <v>117</v>
      </c>
      <c r="CW6" s="30" t="s">
        <v>306</v>
      </c>
      <c r="CX6" s="30" t="s">
        <v>307</v>
      </c>
      <c r="CY6" s="30" t="s">
        <v>308</v>
      </c>
      <c r="CZ6" s="30" t="s">
        <v>309</v>
      </c>
      <c r="DA6" s="30" t="s">
        <v>310</v>
      </c>
      <c r="DB6" s="30" t="s">
        <v>311</v>
      </c>
      <c r="DC6" s="30" t="s">
        <v>312</v>
      </c>
      <c r="DD6" s="30" t="s">
        <v>287</v>
      </c>
      <c r="DE6" s="30" t="s">
        <v>313</v>
      </c>
      <c r="DF6" s="30" t="s">
        <v>314</v>
      </c>
      <c r="DG6" s="30" t="s">
        <v>287</v>
      </c>
      <c r="DH6" s="30" t="s">
        <v>315</v>
      </c>
      <c r="DI6" s="30" t="s">
        <v>316</v>
      </c>
      <c r="DJ6" s="30" t="s">
        <v>276</v>
      </c>
      <c r="DK6" s="30" t="s">
        <v>317</v>
      </c>
      <c r="DL6" s="6" t="s">
        <v>318</v>
      </c>
    </row>
    <row r="7" spans="1:116" ht="12" customHeight="1" thickBot="1" x14ac:dyDescent="0.25">
      <c r="A7" s="18"/>
      <c r="B7" s="4"/>
      <c r="C7" s="5"/>
      <c r="D7" s="23" t="s">
        <v>319</v>
      </c>
      <c r="E7" s="31" t="s">
        <v>320</v>
      </c>
      <c r="F7" s="31" t="s">
        <v>321</v>
      </c>
      <c r="G7" s="31" t="s">
        <v>322</v>
      </c>
      <c r="H7" s="31" t="s">
        <v>323</v>
      </c>
      <c r="I7" s="31" t="s">
        <v>324</v>
      </c>
      <c r="J7" s="31" t="s">
        <v>325</v>
      </c>
      <c r="K7" s="31" t="s">
        <v>326</v>
      </c>
      <c r="L7" s="31" t="s">
        <v>327</v>
      </c>
      <c r="M7" s="31" t="s">
        <v>328</v>
      </c>
      <c r="N7" s="31"/>
      <c r="O7" s="31" t="s">
        <v>329</v>
      </c>
      <c r="P7" s="31" t="s">
        <v>330</v>
      </c>
      <c r="Q7" s="31" t="s">
        <v>331</v>
      </c>
      <c r="R7" s="31" t="s">
        <v>332</v>
      </c>
      <c r="S7" s="31" t="s">
        <v>333</v>
      </c>
      <c r="T7" s="31" t="s">
        <v>333</v>
      </c>
      <c r="U7" s="31" t="s">
        <v>334</v>
      </c>
      <c r="V7" s="31" t="s">
        <v>335</v>
      </c>
      <c r="W7" s="31"/>
      <c r="X7" s="31"/>
      <c r="Y7" s="31"/>
      <c r="Z7" s="31"/>
      <c r="AA7" s="31"/>
      <c r="AB7" s="31"/>
      <c r="AC7" s="31" t="s">
        <v>336</v>
      </c>
      <c r="AD7" s="31"/>
      <c r="AE7" s="31" t="s">
        <v>337</v>
      </c>
      <c r="AF7" s="31" t="s">
        <v>338</v>
      </c>
      <c r="AG7" s="31" t="s">
        <v>339</v>
      </c>
      <c r="AH7" s="31" t="s">
        <v>323</v>
      </c>
      <c r="AI7" s="31" t="s">
        <v>340</v>
      </c>
      <c r="AJ7" s="31" t="s">
        <v>341</v>
      </c>
      <c r="AK7" s="31" t="s">
        <v>342</v>
      </c>
      <c r="AL7" s="31"/>
      <c r="AM7" s="31" t="s">
        <v>343</v>
      </c>
      <c r="AN7" s="31" t="s">
        <v>344</v>
      </c>
      <c r="AO7" s="31" t="s">
        <v>345</v>
      </c>
      <c r="AP7" s="31" t="s">
        <v>346</v>
      </c>
      <c r="AQ7" s="31"/>
      <c r="AR7" s="31"/>
      <c r="AS7" s="31" t="s">
        <v>347</v>
      </c>
      <c r="AT7" s="31" t="s">
        <v>348</v>
      </c>
      <c r="AU7" s="31" t="s">
        <v>349</v>
      </c>
      <c r="AV7" s="31" t="s">
        <v>328</v>
      </c>
      <c r="AW7" s="31" t="s">
        <v>350</v>
      </c>
      <c r="AX7" s="31"/>
      <c r="AY7" s="31" t="s">
        <v>351</v>
      </c>
      <c r="AZ7" s="31" t="s">
        <v>352</v>
      </c>
      <c r="BA7" s="31" t="s">
        <v>353</v>
      </c>
      <c r="BB7" s="31" t="s">
        <v>354</v>
      </c>
      <c r="BC7" s="31"/>
      <c r="BD7" s="31" t="s">
        <v>355</v>
      </c>
      <c r="BE7" s="31" t="s">
        <v>322</v>
      </c>
      <c r="BF7" s="31" t="s">
        <v>356</v>
      </c>
      <c r="BG7" s="31"/>
      <c r="BH7" s="31" t="s">
        <v>357</v>
      </c>
      <c r="BI7" s="31"/>
      <c r="BJ7" s="31" t="s">
        <v>358</v>
      </c>
      <c r="BK7" s="31" t="s">
        <v>359</v>
      </c>
      <c r="BL7" s="31" t="s">
        <v>360</v>
      </c>
      <c r="BM7" s="31" t="s">
        <v>361</v>
      </c>
      <c r="BN7" s="31"/>
      <c r="BO7" s="31"/>
      <c r="BP7" s="31"/>
      <c r="BQ7" s="31"/>
      <c r="BR7" s="31" t="s">
        <v>362</v>
      </c>
      <c r="BS7" s="31" t="s">
        <v>363</v>
      </c>
      <c r="BT7" s="31" t="s">
        <v>364</v>
      </c>
      <c r="BU7" s="31"/>
      <c r="BV7" s="31"/>
      <c r="BW7" s="31" t="s">
        <v>365</v>
      </c>
      <c r="BX7" s="31" t="s">
        <v>366</v>
      </c>
      <c r="BY7" s="31" t="s">
        <v>367</v>
      </c>
      <c r="BZ7" s="31"/>
      <c r="CA7" s="31" t="s">
        <v>368</v>
      </c>
      <c r="CB7" s="31" t="s">
        <v>332</v>
      </c>
      <c r="CC7" s="31" t="s">
        <v>369</v>
      </c>
      <c r="CD7" s="31"/>
      <c r="CE7" s="31" t="s">
        <v>370</v>
      </c>
      <c r="CF7" s="31" t="s">
        <v>371</v>
      </c>
      <c r="CG7" s="31" t="s">
        <v>372</v>
      </c>
      <c r="CH7" s="31" t="s">
        <v>373</v>
      </c>
      <c r="CI7" s="31" t="s">
        <v>374</v>
      </c>
      <c r="CJ7" s="31" t="s">
        <v>322</v>
      </c>
      <c r="CK7" s="31" t="s">
        <v>375</v>
      </c>
      <c r="CL7" s="31" t="s">
        <v>376</v>
      </c>
      <c r="CM7" s="31"/>
      <c r="CN7" s="31" t="s">
        <v>377</v>
      </c>
      <c r="CO7" s="31" t="s">
        <v>378</v>
      </c>
      <c r="CP7" s="31" t="s">
        <v>379</v>
      </c>
      <c r="CQ7" s="31" t="s">
        <v>380</v>
      </c>
      <c r="CR7" s="31" t="s">
        <v>381</v>
      </c>
      <c r="CS7" s="31" t="s">
        <v>382</v>
      </c>
      <c r="CT7" s="31"/>
      <c r="CU7" s="31" t="s">
        <v>383</v>
      </c>
      <c r="CV7" s="31" t="s">
        <v>384</v>
      </c>
      <c r="CW7" s="31"/>
      <c r="CX7" s="31" t="s">
        <v>385</v>
      </c>
      <c r="CY7" s="31"/>
      <c r="CZ7" s="31" t="s">
        <v>386</v>
      </c>
      <c r="DA7" s="31" t="s">
        <v>387</v>
      </c>
      <c r="DB7" s="31"/>
      <c r="DC7" s="31" t="s">
        <v>362</v>
      </c>
      <c r="DD7" s="31" t="s">
        <v>388</v>
      </c>
      <c r="DE7" s="31" t="s">
        <v>389</v>
      </c>
      <c r="DF7" s="31" t="s">
        <v>390</v>
      </c>
      <c r="DG7" s="31" t="s">
        <v>391</v>
      </c>
      <c r="DH7" s="31" t="s">
        <v>392</v>
      </c>
      <c r="DI7" s="31"/>
      <c r="DJ7" s="31"/>
      <c r="DK7" s="31" t="s">
        <v>393</v>
      </c>
      <c r="DL7" s="5" t="s">
        <v>341</v>
      </c>
    </row>
    <row r="8" spans="1:116" ht="12" customHeight="1" thickTop="1" x14ac:dyDescent="0.2">
      <c r="A8" s="12"/>
      <c r="B8" s="13"/>
      <c r="C8" s="14"/>
      <c r="D8" s="24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7"/>
    </row>
    <row r="9" spans="1:116" ht="12" customHeight="1" x14ac:dyDescent="0.2">
      <c r="A9" s="15" t="s">
        <v>394</v>
      </c>
      <c r="B9" s="1"/>
      <c r="C9" s="16"/>
      <c r="D9" s="25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8"/>
    </row>
    <row r="10" spans="1:116" ht="12" customHeight="1" x14ac:dyDescent="0.2">
      <c r="A10" s="15"/>
      <c r="B10" s="1"/>
      <c r="C10" s="16"/>
      <c r="D10" s="25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8"/>
    </row>
    <row r="11" spans="1:116" ht="12" customHeight="1" x14ac:dyDescent="0.2">
      <c r="A11" s="15"/>
      <c r="B11" s="1">
        <v>1</v>
      </c>
      <c r="C11" s="16" t="s">
        <v>395</v>
      </c>
      <c r="D11" s="26">
        <v>1118.22</v>
      </c>
      <c r="E11" s="34">
        <v>1217.6600000000001</v>
      </c>
      <c r="F11" s="34">
        <v>81.180000000000007</v>
      </c>
      <c r="G11" s="34">
        <v>1118.22</v>
      </c>
      <c r="H11" s="34">
        <v>1118.22</v>
      </c>
      <c r="I11" s="34">
        <v>559.11</v>
      </c>
      <c r="J11" s="34">
        <v>1217.6600000000001</v>
      </c>
      <c r="K11" s="34">
        <v>410.01</v>
      </c>
      <c r="L11" s="34">
        <v>1217.6600000000001</v>
      </c>
      <c r="M11" s="34">
        <v>894.58</v>
      </c>
      <c r="N11" s="34">
        <v>1217.6600000000001</v>
      </c>
      <c r="O11" s="34">
        <v>1217.6600000000001</v>
      </c>
      <c r="P11" s="34">
        <v>1635.41</v>
      </c>
      <c r="Q11" s="34">
        <v>1118.22</v>
      </c>
      <c r="R11" s="34">
        <v>1433.47</v>
      </c>
      <c r="S11" s="34">
        <v>1217.6600000000001</v>
      </c>
      <c r="T11" s="34">
        <v>454.28</v>
      </c>
      <c r="U11" s="34">
        <v>1217.6600000000001</v>
      </c>
      <c r="V11" s="34">
        <v>1118.22</v>
      </c>
      <c r="W11" s="34">
        <v>1051.32</v>
      </c>
      <c r="X11" s="34">
        <v>1118.22</v>
      </c>
      <c r="Y11" s="34">
        <v>1051.32</v>
      </c>
      <c r="Z11" s="34">
        <v>1118.22</v>
      </c>
      <c r="AA11" s="34">
        <v>1217.6600000000001</v>
      </c>
      <c r="AB11" s="34">
        <v>770.97</v>
      </c>
      <c r="AC11" s="34">
        <v>857.3</v>
      </c>
      <c r="AD11" s="34">
        <v>1118.22</v>
      </c>
      <c r="AE11" s="34">
        <v>1217.6600000000001</v>
      </c>
      <c r="AF11" s="34">
        <v>1635.41</v>
      </c>
      <c r="AG11" s="34">
        <v>1635.41</v>
      </c>
      <c r="AH11" s="34">
        <v>1217.6600000000001</v>
      </c>
      <c r="AI11" s="34">
        <v>1051.32</v>
      </c>
      <c r="AJ11" s="34">
        <v>1217.6600000000001</v>
      </c>
      <c r="AK11" s="34">
        <v>40.590000000000003</v>
      </c>
      <c r="AL11" s="34"/>
      <c r="AM11" s="34">
        <v>1514.28</v>
      </c>
      <c r="AN11" s="34">
        <v>1051.32</v>
      </c>
      <c r="AO11" s="34">
        <v>1217.6600000000001</v>
      </c>
      <c r="AP11" s="34">
        <v>1217.6600000000001</v>
      </c>
      <c r="AQ11" s="34">
        <v>1217.6600000000001</v>
      </c>
      <c r="AR11" s="34">
        <v>735.92</v>
      </c>
      <c r="AS11" s="34">
        <v>1217.6600000000001</v>
      </c>
      <c r="AT11" s="34">
        <v>1118.22</v>
      </c>
      <c r="AU11" s="34">
        <v>1051.32</v>
      </c>
      <c r="AV11" s="34">
        <v>1514.28</v>
      </c>
      <c r="AW11" s="34">
        <v>1217.6600000000001</v>
      </c>
      <c r="AX11" s="34">
        <v>931.85</v>
      </c>
      <c r="AY11" s="34">
        <v>1118.22</v>
      </c>
      <c r="AZ11" s="34">
        <v>1051.32</v>
      </c>
      <c r="BA11" s="34">
        <v>1217.6600000000001</v>
      </c>
      <c r="BB11" s="34"/>
      <c r="BC11" s="34">
        <v>1051.32</v>
      </c>
      <c r="BD11" s="34">
        <v>838.67</v>
      </c>
      <c r="BE11" s="34">
        <v>1217.6600000000001</v>
      </c>
      <c r="BF11" s="34"/>
      <c r="BG11" s="34">
        <v>1051.32</v>
      </c>
      <c r="BH11" s="34">
        <v>1118.22</v>
      </c>
      <c r="BI11" s="34">
        <v>1051.32</v>
      </c>
      <c r="BJ11" s="34">
        <v>1051.32</v>
      </c>
      <c r="BK11" s="34">
        <v>1217.6600000000001</v>
      </c>
      <c r="BL11" s="34">
        <v>1433.47</v>
      </c>
      <c r="BM11" s="34">
        <v>1433.47</v>
      </c>
      <c r="BN11" s="34">
        <v>1051.32</v>
      </c>
      <c r="BO11" s="34">
        <v>1051.32</v>
      </c>
      <c r="BP11" s="34">
        <v>876.1</v>
      </c>
      <c r="BQ11" s="34">
        <v>1051.32</v>
      </c>
      <c r="BR11" s="34">
        <v>1118.22</v>
      </c>
      <c r="BS11" s="34">
        <v>1217.6600000000001</v>
      </c>
      <c r="BT11" s="34">
        <v>1514.28</v>
      </c>
      <c r="BU11" s="34">
        <v>1051.32</v>
      </c>
      <c r="BV11" s="34">
        <v>700.88</v>
      </c>
      <c r="BW11" s="34">
        <v>1118.22</v>
      </c>
      <c r="BX11" s="34">
        <v>1217.6600000000001</v>
      </c>
      <c r="BY11" s="34">
        <v>1118.22</v>
      </c>
      <c r="BZ11" s="34">
        <v>1118.22</v>
      </c>
      <c r="CA11" s="34">
        <v>1217.6600000000001</v>
      </c>
      <c r="CB11" s="34">
        <v>1433.47</v>
      </c>
      <c r="CC11" s="34">
        <v>1217.6600000000001</v>
      </c>
      <c r="CD11" s="34">
        <v>1118.22</v>
      </c>
      <c r="CE11" s="34">
        <v>1051.32</v>
      </c>
      <c r="CF11" s="34">
        <v>1051.32</v>
      </c>
      <c r="CG11" s="34">
        <v>1051.32</v>
      </c>
      <c r="CH11" s="34">
        <v>1433.47</v>
      </c>
      <c r="CI11" s="34">
        <v>1051.32</v>
      </c>
      <c r="CJ11" s="34">
        <v>1051.32</v>
      </c>
      <c r="CK11" s="34">
        <v>1051.32</v>
      </c>
      <c r="CL11" s="34">
        <v>1051.32</v>
      </c>
      <c r="CM11" s="34">
        <v>1051.32</v>
      </c>
      <c r="CN11" s="34">
        <v>1051.32</v>
      </c>
      <c r="CO11" s="34">
        <v>35.04</v>
      </c>
      <c r="CP11" s="34">
        <v>1051.32</v>
      </c>
      <c r="CQ11" s="34">
        <v>649.42999999999995</v>
      </c>
      <c r="CR11" s="34">
        <v>1051.32</v>
      </c>
      <c r="CS11" s="34">
        <v>1051.32</v>
      </c>
      <c r="CT11" s="34">
        <v>946.19</v>
      </c>
      <c r="CU11" s="34">
        <v>1051.32</v>
      </c>
      <c r="CV11" s="34">
        <v>1051.32</v>
      </c>
      <c r="CW11" s="34">
        <v>1051.32</v>
      </c>
      <c r="CX11" s="34">
        <v>514.4</v>
      </c>
      <c r="CY11" s="34">
        <v>1051.32</v>
      </c>
      <c r="CZ11" s="34">
        <v>788.49</v>
      </c>
      <c r="DA11" s="34">
        <v>1118.22</v>
      </c>
      <c r="DB11" s="34">
        <v>1118.22</v>
      </c>
      <c r="DC11" s="34">
        <v>1051.32</v>
      </c>
      <c r="DD11" s="34">
        <v>1514.28</v>
      </c>
      <c r="DE11" s="34">
        <v>820.03</v>
      </c>
      <c r="DF11" s="34">
        <v>665.84</v>
      </c>
      <c r="DG11" s="34">
        <v>820.03</v>
      </c>
      <c r="DH11" s="34">
        <v>700.88</v>
      </c>
      <c r="DI11" s="34">
        <v>665.84</v>
      </c>
      <c r="DJ11" s="34">
        <v>665.84</v>
      </c>
      <c r="DK11" s="34">
        <v>447.29</v>
      </c>
      <c r="DL11" s="9">
        <v>121.77</v>
      </c>
    </row>
    <row r="12" spans="1:116" ht="12" customHeight="1" x14ac:dyDescent="0.2">
      <c r="A12" s="15"/>
      <c r="B12" s="1">
        <v>13</v>
      </c>
      <c r="C12" s="16" t="s">
        <v>396</v>
      </c>
      <c r="D12" s="26">
        <v>80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9"/>
    </row>
    <row r="13" spans="1:116" ht="12" customHeight="1" x14ac:dyDescent="0.2">
      <c r="A13" s="15"/>
      <c r="B13" s="1">
        <v>74</v>
      </c>
      <c r="C13" s="16" t="s">
        <v>397</v>
      </c>
      <c r="D13" s="26">
        <v>34.07</v>
      </c>
      <c r="E13" s="34">
        <v>34.07</v>
      </c>
      <c r="F13" s="34">
        <v>2.27</v>
      </c>
      <c r="G13" s="34">
        <v>34.07</v>
      </c>
      <c r="H13" s="34">
        <v>34.07</v>
      </c>
      <c r="I13" s="34">
        <v>34.07</v>
      </c>
      <c r="J13" s="34">
        <v>34.07</v>
      </c>
      <c r="K13" s="34">
        <v>12.49</v>
      </c>
      <c r="L13" s="34">
        <v>34.07</v>
      </c>
      <c r="M13" s="34">
        <v>27.26</v>
      </c>
      <c r="N13" s="34">
        <v>34.07</v>
      </c>
      <c r="O13" s="34">
        <v>34.07</v>
      </c>
      <c r="P13" s="34">
        <v>34.07</v>
      </c>
      <c r="Q13" s="34">
        <v>34.07</v>
      </c>
      <c r="R13" s="34">
        <v>34.07</v>
      </c>
      <c r="S13" s="34">
        <v>34.07</v>
      </c>
      <c r="T13" s="34">
        <v>34.07</v>
      </c>
      <c r="U13" s="34">
        <v>34.07</v>
      </c>
      <c r="V13" s="34">
        <v>34.07</v>
      </c>
      <c r="W13" s="34">
        <v>34.07</v>
      </c>
      <c r="X13" s="34">
        <v>34.07</v>
      </c>
      <c r="Y13" s="34">
        <v>34.07</v>
      </c>
      <c r="Z13" s="34">
        <v>34.07</v>
      </c>
      <c r="AA13" s="34">
        <v>34.07</v>
      </c>
      <c r="AB13" s="34">
        <v>24.98</v>
      </c>
      <c r="AC13" s="34">
        <v>26.12</v>
      </c>
      <c r="AD13" s="34">
        <v>34.07</v>
      </c>
      <c r="AE13" s="34">
        <v>34.07</v>
      </c>
      <c r="AF13" s="34">
        <v>34.07</v>
      </c>
      <c r="AG13" s="34">
        <v>34.07</v>
      </c>
      <c r="AH13" s="34">
        <v>34.07</v>
      </c>
      <c r="AI13" s="34">
        <v>34.07</v>
      </c>
      <c r="AJ13" s="34">
        <v>34.07</v>
      </c>
      <c r="AK13" s="34">
        <v>1.1399999999999999</v>
      </c>
      <c r="AL13" s="34"/>
      <c r="AM13" s="34">
        <v>34.07</v>
      </c>
      <c r="AN13" s="34">
        <v>34.07</v>
      </c>
      <c r="AO13" s="34">
        <v>34.07</v>
      </c>
      <c r="AP13" s="34">
        <v>34.07</v>
      </c>
      <c r="AQ13" s="34">
        <v>34.07</v>
      </c>
      <c r="AR13" s="34">
        <v>23.85</v>
      </c>
      <c r="AS13" s="34">
        <v>34.07</v>
      </c>
      <c r="AT13" s="34">
        <v>34.07</v>
      </c>
      <c r="AU13" s="34">
        <v>34.07</v>
      </c>
      <c r="AV13" s="34">
        <v>34.07</v>
      </c>
      <c r="AW13" s="34">
        <v>34.07</v>
      </c>
      <c r="AX13" s="34">
        <v>28.39</v>
      </c>
      <c r="AY13" s="34">
        <v>34.07</v>
      </c>
      <c r="AZ13" s="34">
        <v>34.07</v>
      </c>
      <c r="BA13" s="34">
        <v>34.07</v>
      </c>
      <c r="BB13" s="34"/>
      <c r="BC13" s="34">
        <v>34.07</v>
      </c>
      <c r="BD13" s="34">
        <v>34.07</v>
      </c>
      <c r="BE13" s="34">
        <v>34.07</v>
      </c>
      <c r="BF13" s="34"/>
      <c r="BG13" s="34">
        <v>34.07</v>
      </c>
      <c r="BH13" s="34">
        <v>34.07</v>
      </c>
      <c r="BI13" s="34">
        <v>34.07</v>
      </c>
      <c r="BJ13" s="34">
        <v>34.07</v>
      </c>
      <c r="BK13" s="34">
        <v>34.07</v>
      </c>
      <c r="BL13" s="34">
        <v>34.07</v>
      </c>
      <c r="BM13" s="34">
        <v>34.07</v>
      </c>
      <c r="BN13" s="34">
        <v>34.07</v>
      </c>
      <c r="BO13" s="34">
        <v>34.07</v>
      </c>
      <c r="BP13" s="34">
        <v>28.39</v>
      </c>
      <c r="BQ13" s="34">
        <v>34.07</v>
      </c>
      <c r="BR13" s="34">
        <v>34.07</v>
      </c>
      <c r="BS13" s="34">
        <v>34.07</v>
      </c>
      <c r="BT13" s="34">
        <v>34.07</v>
      </c>
      <c r="BU13" s="34">
        <v>34.07</v>
      </c>
      <c r="BV13" s="34">
        <v>22.71</v>
      </c>
      <c r="BW13" s="34">
        <v>34.07</v>
      </c>
      <c r="BX13" s="34">
        <v>34.07</v>
      </c>
      <c r="BY13" s="34">
        <v>34.07</v>
      </c>
      <c r="BZ13" s="34">
        <v>34.07</v>
      </c>
      <c r="CA13" s="34">
        <v>34.07</v>
      </c>
      <c r="CB13" s="34">
        <v>34.07</v>
      </c>
      <c r="CC13" s="34">
        <v>34.07</v>
      </c>
      <c r="CD13" s="34">
        <v>34.07</v>
      </c>
      <c r="CE13" s="34">
        <v>34.07</v>
      </c>
      <c r="CF13" s="34">
        <v>34.07</v>
      </c>
      <c r="CG13" s="34">
        <v>34.07</v>
      </c>
      <c r="CH13" s="34">
        <v>34.07</v>
      </c>
      <c r="CI13" s="34">
        <v>34.07</v>
      </c>
      <c r="CJ13" s="34">
        <v>34.07</v>
      </c>
      <c r="CK13" s="34">
        <v>34.07</v>
      </c>
      <c r="CL13" s="34">
        <v>34.07</v>
      </c>
      <c r="CM13" s="34">
        <v>34.07</v>
      </c>
      <c r="CN13" s="34">
        <v>34.07</v>
      </c>
      <c r="CO13" s="34">
        <v>1.1399999999999999</v>
      </c>
      <c r="CP13" s="34">
        <v>34.07</v>
      </c>
      <c r="CQ13" s="34"/>
      <c r="CR13" s="34">
        <v>34.07</v>
      </c>
      <c r="CS13" s="34">
        <v>34.07</v>
      </c>
      <c r="CT13" s="34">
        <v>30.66</v>
      </c>
      <c r="CU13" s="34">
        <v>34.07</v>
      </c>
      <c r="CV13" s="34">
        <v>34.07</v>
      </c>
      <c r="CW13" s="34">
        <v>34.07</v>
      </c>
      <c r="CX13" s="34"/>
      <c r="CY13" s="34">
        <v>34.07</v>
      </c>
      <c r="CZ13" s="34">
        <v>34.07</v>
      </c>
      <c r="DA13" s="34">
        <v>34.07</v>
      </c>
      <c r="DB13" s="34">
        <v>34.07</v>
      </c>
      <c r="DC13" s="34">
        <v>34.07</v>
      </c>
      <c r="DD13" s="34">
        <v>34.07</v>
      </c>
      <c r="DE13" s="34">
        <v>24.98</v>
      </c>
      <c r="DF13" s="34">
        <v>21.58</v>
      </c>
      <c r="DG13" s="34">
        <v>24.98</v>
      </c>
      <c r="DH13" s="34">
        <v>22.71</v>
      </c>
      <c r="DI13" s="34">
        <v>21.58</v>
      </c>
      <c r="DJ13" s="34">
        <v>21.58</v>
      </c>
      <c r="DK13" s="34">
        <v>13.63</v>
      </c>
      <c r="DL13" s="9">
        <v>3.41</v>
      </c>
    </row>
    <row r="14" spans="1:116" ht="12" customHeight="1" x14ac:dyDescent="0.2">
      <c r="A14" s="15"/>
      <c r="B14" s="1">
        <v>75</v>
      </c>
      <c r="C14" s="16" t="s">
        <v>398</v>
      </c>
      <c r="D14" s="26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>
        <v>8.2100000000000009</v>
      </c>
      <c r="AL14" s="34"/>
      <c r="AM14" s="34"/>
      <c r="AN14" s="34">
        <v>217.62</v>
      </c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>
        <v>400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>
        <v>200</v>
      </c>
      <c r="BX14" s="34">
        <v>217.62</v>
      </c>
      <c r="BY14" s="34"/>
      <c r="BZ14" s="34"/>
      <c r="CA14" s="34"/>
      <c r="CB14" s="34"/>
      <c r="CC14" s="34">
        <v>251.52</v>
      </c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>
        <v>363.98</v>
      </c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9"/>
    </row>
    <row r="15" spans="1:116" ht="12" customHeight="1" x14ac:dyDescent="0.2">
      <c r="A15" s="15"/>
      <c r="B15" s="1">
        <v>84</v>
      </c>
      <c r="C15" s="16" t="s">
        <v>399</v>
      </c>
      <c r="D15" s="26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>
        <v>0.72</v>
      </c>
      <c r="AL15" s="34"/>
      <c r="AM15" s="34"/>
      <c r="AN15" s="34">
        <v>21.53</v>
      </c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>
        <v>21.53</v>
      </c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>
        <v>21.53</v>
      </c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>
        <v>21.53</v>
      </c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>
        <v>21.53</v>
      </c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9"/>
    </row>
    <row r="16" spans="1:116" ht="12" customHeight="1" x14ac:dyDescent="0.2">
      <c r="A16" s="15"/>
      <c r="B16" s="1">
        <v>85</v>
      </c>
      <c r="C16" s="16" t="s">
        <v>400</v>
      </c>
      <c r="D16" s="26"/>
      <c r="E16" s="34"/>
      <c r="F16" s="34"/>
      <c r="G16" s="34"/>
      <c r="H16" s="34"/>
      <c r="I16" s="34">
        <v>80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>
        <v>150</v>
      </c>
      <c r="X16" s="34">
        <v>200</v>
      </c>
      <c r="Y16" s="34">
        <v>100</v>
      </c>
      <c r="Z16" s="34"/>
      <c r="AA16" s="34"/>
      <c r="AB16" s="34"/>
      <c r="AC16" s="34">
        <v>150</v>
      </c>
      <c r="AD16" s="34"/>
      <c r="AE16" s="34"/>
      <c r="AF16" s="34"/>
      <c r="AG16" s="34"/>
      <c r="AH16" s="34"/>
      <c r="AI16" s="34"/>
      <c r="AJ16" s="34">
        <v>350</v>
      </c>
      <c r="AK16" s="34"/>
      <c r="AL16" s="34"/>
      <c r="AM16" s="34">
        <v>1000</v>
      </c>
      <c r="AN16" s="34"/>
      <c r="AO16" s="34">
        <v>100</v>
      </c>
      <c r="AP16" s="34"/>
      <c r="AQ16" s="34">
        <v>133.33000000000001</v>
      </c>
      <c r="AR16" s="34">
        <v>80.5</v>
      </c>
      <c r="AS16" s="34"/>
      <c r="AT16" s="34"/>
      <c r="AU16" s="34"/>
      <c r="AV16" s="34"/>
      <c r="AW16" s="34"/>
      <c r="AX16" s="34"/>
      <c r="AY16" s="34">
        <v>150</v>
      </c>
      <c r="AZ16" s="34">
        <v>150</v>
      </c>
      <c r="BA16" s="34"/>
      <c r="BB16" s="34"/>
      <c r="BC16" s="34"/>
      <c r="BD16" s="34"/>
      <c r="BE16" s="34"/>
      <c r="BF16" s="34"/>
      <c r="BG16" s="34">
        <v>225</v>
      </c>
      <c r="BH16" s="34"/>
      <c r="BI16" s="34"/>
      <c r="BJ16" s="34"/>
      <c r="BK16" s="34"/>
      <c r="BL16" s="34"/>
      <c r="BM16" s="34"/>
      <c r="BN16" s="34"/>
      <c r="BO16" s="34"/>
      <c r="BP16" s="34"/>
      <c r="BQ16" s="34">
        <v>100</v>
      </c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>
        <v>420</v>
      </c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>
        <v>100</v>
      </c>
      <c r="CU16" s="34"/>
      <c r="CV16" s="34"/>
      <c r="CW16" s="34">
        <v>100</v>
      </c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9"/>
    </row>
    <row r="17" spans="1:116" ht="12" customHeight="1" x14ac:dyDescent="0.2">
      <c r="A17" s="15"/>
      <c r="B17" s="1">
        <v>93</v>
      </c>
      <c r="C17" s="16" t="s">
        <v>401</v>
      </c>
      <c r="D17" s="26"/>
      <c r="E17" s="34"/>
      <c r="F17" s="34">
        <v>5.07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>
        <v>88.74</v>
      </c>
      <c r="AQ17" s="34">
        <v>112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>
        <v>114.4</v>
      </c>
      <c r="BM17" s="34">
        <v>133.33000000000001</v>
      </c>
      <c r="BN17" s="34"/>
      <c r="BO17" s="34"/>
      <c r="BP17" s="34"/>
      <c r="BQ17" s="34"/>
      <c r="BR17" s="34"/>
      <c r="BS17" s="34">
        <v>80</v>
      </c>
      <c r="BT17" s="34">
        <v>216.67</v>
      </c>
      <c r="BU17" s="34"/>
      <c r="BV17" s="34"/>
      <c r="BW17" s="34"/>
      <c r="BX17" s="34"/>
      <c r="BY17" s="34"/>
      <c r="BZ17" s="34"/>
      <c r="CA17" s="34"/>
      <c r="CB17" s="34">
        <v>150</v>
      </c>
      <c r="CC17" s="34">
        <v>93.33</v>
      </c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9"/>
    </row>
    <row r="18" spans="1:116" ht="12" customHeight="1" x14ac:dyDescent="0.2">
      <c r="A18" s="15"/>
      <c r="B18" s="1">
        <v>113</v>
      </c>
      <c r="C18" s="16" t="s">
        <v>402</v>
      </c>
      <c r="D18" s="26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>
        <v>153.46</v>
      </c>
      <c r="S18" s="34"/>
      <c r="T18" s="34">
        <v>27</v>
      </c>
      <c r="U18" s="34"/>
      <c r="V18" s="34"/>
      <c r="W18" s="34"/>
      <c r="X18" s="34"/>
      <c r="Y18" s="34"/>
      <c r="Z18" s="34"/>
      <c r="AA18" s="34">
        <v>125</v>
      </c>
      <c r="AB18" s="34"/>
      <c r="AC18" s="34"/>
      <c r="AD18" s="34"/>
      <c r="AE18" s="34"/>
      <c r="AF18" s="34"/>
      <c r="AG18" s="34"/>
      <c r="AH18" s="34"/>
      <c r="AI18" s="34"/>
      <c r="AJ18" s="34">
        <v>191.71</v>
      </c>
      <c r="AK18" s="34"/>
      <c r="AL18" s="34"/>
      <c r="AM18" s="34"/>
      <c r="AN18" s="34"/>
      <c r="AO18" s="34">
        <v>250</v>
      </c>
      <c r="AP18" s="34">
        <v>150</v>
      </c>
      <c r="AQ18" s="34">
        <v>166.67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>
        <v>125</v>
      </c>
      <c r="BK18" s="34">
        <v>166.66</v>
      </c>
      <c r="BL18" s="34"/>
      <c r="BM18" s="34"/>
      <c r="BN18" s="34"/>
      <c r="BO18" s="34"/>
      <c r="BP18" s="34"/>
      <c r="BQ18" s="34"/>
      <c r="BR18" s="34"/>
      <c r="BS18" s="34">
        <v>183.33</v>
      </c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>
        <v>100</v>
      </c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9"/>
    </row>
    <row r="19" spans="1:116" ht="12" customHeight="1" x14ac:dyDescent="0.2">
      <c r="A19" s="15"/>
      <c r="B19" s="1">
        <v>123</v>
      </c>
      <c r="C19" s="16" t="s">
        <v>403</v>
      </c>
      <c r="D19" s="26">
        <v>0.77</v>
      </c>
      <c r="E19" s="34">
        <v>0.77</v>
      </c>
      <c r="F19" s="34">
        <v>0.77</v>
      </c>
      <c r="G19" s="34">
        <v>0.77</v>
      </c>
      <c r="H19" s="34">
        <v>0.77</v>
      </c>
      <c r="I19" s="34">
        <v>0.77</v>
      </c>
      <c r="J19" s="34">
        <v>0.77</v>
      </c>
      <c r="K19" s="34">
        <v>0.77</v>
      </c>
      <c r="L19" s="34">
        <v>0.77</v>
      </c>
      <c r="M19" s="34">
        <v>0.62</v>
      </c>
      <c r="N19" s="34">
        <v>0.77</v>
      </c>
      <c r="O19" s="34">
        <v>0.77</v>
      </c>
      <c r="P19" s="34">
        <v>0.77</v>
      </c>
      <c r="Q19" s="34">
        <v>0.77</v>
      </c>
      <c r="R19" s="34">
        <v>0.77</v>
      </c>
      <c r="S19" s="34">
        <v>0.77</v>
      </c>
      <c r="T19" s="34">
        <v>0.77</v>
      </c>
      <c r="U19" s="34">
        <v>0.77</v>
      </c>
      <c r="V19" s="34">
        <v>0.77</v>
      </c>
      <c r="W19" s="34">
        <v>0.77</v>
      </c>
      <c r="X19" s="34">
        <v>0.77</v>
      </c>
      <c r="Y19" s="34">
        <v>0.77</v>
      </c>
      <c r="Z19" s="34">
        <v>0.77</v>
      </c>
      <c r="AA19" s="34">
        <v>0.77</v>
      </c>
      <c r="AB19" s="34">
        <v>0.56000000000000005</v>
      </c>
      <c r="AC19" s="34">
        <v>0.59</v>
      </c>
      <c r="AD19" s="34">
        <v>0.77</v>
      </c>
      <c r="AE19" s="34">
        <v>0.77</v>
      </c>
      <c r="AF19" s="34"/>
      <c r="AG19" s="34"/>
      <c r="AH19" s="34">
        <v>0.77</v>
      </c>
      <c r="AI19" s="34">
        <v>0.77</v>
      </c>
      <c r="AJ19" s="34">
        <v>0.77</v>
      </c>
      <c r="AK19" s="34">
        <v>0.13</v>
      </c>
      <c r="AL19" s="34"/>
      <c r="AM19" s="34">
        <v>0.77</v>
      </c>
      <c r="AN19" s="34">
        <v>0.77</v>
      </c>
      <c r="AO19" s="34">
        <v>0.77</v>
      </c>
      <c r="AP19" s="34">
        <v>0.77</v>
      </c>
      <c r="AQ19" s="34">
        <v>0.77</v>
      </c>
      <c r="AR19" s="34">
        <v>0.54</v>
      </c>
      <c r="AS19" s="34">
        <v>0.77</v>
      </c>
      <c r="AT19" s="34">
        <v>0.77</v>
      </c>
      <c r="AU19" s="34">
        <v>0.77</v>
      </c>
      <c r="AV19" s="34">
        <v>0.77</v>
      </c>
      <c r="AW19" s="34">
        <v>0.77</v>
      </c>
      <c r="AX19" s="34">
        <v>0.64</v>
      </c>
      <c r="AY19" s="34">
        <v>0.77</v>
      </c>
      <c r="AZ19" s="34">
        <v>0.77</v>
      </c>
      <c r="BA19" s="34">
        <v>0.77</v>
      </c>
      <c r="BB19" s="34"/>
      <c r="BC19" s="34">
        <v>0.77</v>
      </c>
      <c r="BD19" s="34">
        <v>0.77</v>
      </c>
      <c r="BE19" s="34">
        <v>0.77</v>
      </c>
      <c r="BF19" s="34"/>
      <c r="BG19" s="34">
        <v>0.77</v>
      </c>
      <c r="BH19" s="34">
        <v>0.77</v>
      </c>
      <c r="BI19" s="34">
        <v>0.77</v>
      </c>
      <c r="BJ19" s="34">
        <v>0.77</v>
      </c>
      <c r="BK19" s="34">
        <v>0.77</v>
      </c>
      <c r="BL19" s="34">
        <v>0.77</v>
      </c>
      <c r="BM19" s="34">
        <v>0.77</v>
      </c>
      <c r="BN19" s="34">
        <v>0.77</v>
      </c>
      <c r="BO19" s="34">
        <v>0.77</v>
      </c>
      <c r="BP19" s="34">
        <v>0.64</v>
      </c>
      <c r="BQ19" s="34">
        <v>0.77</v>
      </c>
      <c r="BR19" s="34">
        <v>0.77</v>
      </c>
      <c r="BS19" s="34">
        <v>0.77</v>
      </c>
      <c r="BT19" s="34">
        <v>0.77</v>
      </c>
      <c r="BU19" s="34">
        <v>0.77</v>
      </c>
      <c r="BV19" s="34">
        <v>0.51</v>
      </c>
      <c r="BW19" s="34">
        <v>0.77</v>
      </c>
      <c r="BX19" s="34">
        <v>0.77</v>
      </c>
      <c r="BY19" s="34">
        <v>0.77</v>
      </c>
      <c r="BZ19" s="34">
        <v>0.77</v>
      </c>
      <c r="CA19" s="34">
        <v>74.459999999999994</v>
      </c>
      <c r="CB19" s="34">
        <v>0.77</v>
      </c>
      <c r="CC19" s="34">
        <v>0.77</v>
      </c>
      <c r="CD19" s="34">
        <v>0.77</v>
      </c>
      <c r="CE19" s="34">
        <v>0.77</v>
      </c>
      <c r="CF19" s="34">
        <v>0.77</v>
      </c>
      <c r="CG19" s="34">
        <v>0.77</v>
      </c>
      <c r="CH19" s="34">
        <v>0.77</v>
      </c>
      <c r="CI19" s="34">
        <v>0.77</v>
      </c>
      <c r="CJ19" s="34">
        <v>0.77</v>
      </c>
      <c r="CK19" s="34">
        <v>0.77</v>
      </c>
      <c r="CL19" s="34">
        <v>0.77</v>
      </c>
      <c r="CM19" s="34">
        <v>0.77</v>
      </c>
      <c r="CN19" s="34">
        <v>0.77</v>
      </c>
      <c r="CO19" s="34">
        <v>0.03</v>
      </c>
      <c r="CP19" s="34">
        <v>0.77</v>
      </c>
      <c r="CQ19" s="34"/>
      <c r="CR19" s="34">
        <v>0.77</v>
      </c>
      <c r="CS19" s="34">
        <v>0.77</v>
      </c>
      <c r="CT19" s="34">
        <v>0.69</v>
      </c>
      <c r="CU19" s="34">
        <v>0.77</v>
      </c>
      <c r="CV19" s="34">
        <v>0.77</v>
      </c>
      <c r="CW19" s="34">
        <v>0.77</v>
      </c>
      <c r="CX19" s="34"/>
      <c r="CY19" s="34">
        <v>0.77</v>
      </c>
      <c r="CZ19" s="34">
        <v>0.77</v>
      </c>
      <c r="DA19" s="34">
        <v>0.77</v>
      </c>
      <c r="DB19" s="34">
        <v>0.77</v>
      </c>
      <c r="DC19" s="34">
        <v>0.77</v>
      </c>
      <c r="DD19" s="34">
        <v>0.77</v>
      </c>
      <c r="DE19" s="34">
        <v>0.72</v>
      </c>
      <c r="DF19" s="34">
        <v>0.77</v>
      </c>
      <c r="DG19" s="34">
        <v>0.77</v>
      </c>
      <c r="DH19" s="34">
        <v>0.77</v>
      </c>
      <c r="DI19" s="34">
        <v>0.77</v>
      </c>
      <c r="DJ19" s="34">
        <v>0.77</v>
      </c>
      <c r="DK19" s="34">
        <v>0.77</v>
      </c>
      <c r="DL19" s="9">
        <v>0.77</v>
      </c>
    </row>
    <row r="20" spans="1:116" ht="12" customHeight="1" x14ac:dyDescent="0.2">
      <c r="A20" s="15"/>
      <c r="B20" s="1">
        <v>131</v>
      </c>
      <c r="C20" s="16" t="s">
        <v>404</v>
      </c>
      <c r="D20" s="26">
        <v>282.22000000000003</v>
      </c>
      <c r="E20" s="34"/>
      <c r="F20" s="34"/>
      <c r="G20" s="34"/>
      <c r="H20" s="34">
        <v>78.28</v>
      </c>
      <c r="I20" s="34">
        <v>12.61</v>
      </c>
      <c r="J20" s="34"/>
      <c r="K20" s="34"/>
      <c r="L20" s="34"/>
      <c r="M20" s="34"/>
      <c r="N20" s="34"/>
      <c r="O20" s="34">
        <v>174.67</v>
      </c>
      <c r="P20" s="34">
        <v>1116.8699999999999</v>
      </c>
      <c r="Q20" s="34">
        <v>28.07</v>
      </c>
      <c r="R20" s="34">
        <v>1181.8599999999999</v>
      </c>
      <c r="S20" s="34"/>
      <c r="T20" s="34"/>
      <c r="U20" s="34"/>
      <c r="V20" s="34"/>
      <c r="W20" s="34"/>
      <c r="X20" s="34"/>
      <c r="Y20" s="34"/>
      <c r="Z20" s="34">
        <v>25.22</v>
      </c>
      <c r="AA20" s="34"/>
      <c r="AB20" s="34"/>
      <c r="AC20" s="34">
        <v>19.34</v>
      </c>
      <c r="AD20" s="34"/>
      <c r="AE20" s="34"/>
      <c r="AF20" s="34">
        <v>1081.72</v>
      </c>
      <c r="AG20" s="34"/>
      <c r="AH20" s="34"/>
      <c r="AI20" s="34"/>
      <c r="AJ20" s="34"/>
      <c r="AK20" s="34"/>
      <c r="AL20" s="34"/>
      <c r="AM20" s="34">
        <v>2108.62</v>
      </c>
      <c r="AN20" s="34"/>
      <c r="AO20" s="34"/>
      <c r="AP20" s="34"/>
      <c r="AQ20" s="34">
        <v>549.44000000000005</v>
      </c>
      <c r="AR20" s="34"/>
      <c r="AS20" s="34">
        <v>741.34</v>
      </c>
      <c r="AT20" s="34">
        <v>120.44</v>
      </c>
      <c r="AU20" s="34"/>
      <c r="AV20" s="34">
        <v>2588</v>
      </c>
      <c r="AW20" s="34"/>
      <c r="AX20" s="34"/>
      <c r="AY20" s="34">
        <v>36.43</v>
      </c>
      <c r="AZ20" s="34"/>
      <c r="BA20" s="34"/>
      <c r="BB20" s="34"/>
      <c r="BC20" s="34"/>
      <c r="BD20" s="34"/>
      <c r="BE20" s="34">
        <v>591.34</v>
      </c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>
        <v>2412.7800000000002</v>
      </c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>
        <v>2028.31</v>
      </c>
      <c r="DE20" s="34"/>
      <c r="DF20" s="34"/>
      <c r="DG20" s="34"/>
      <c r="DH20" s="34"/>
      <c r="DI20" s="34"/>
      <c r="DJ20" s="34"/>
      <c r="DK20" s="34"/>
      <c r="DL20" s="9"/>
    </row>
    <row r="21" spans="1:116" ht="12" customHeight="1" x14ac:dyDescent="0.2">
      <c r="A21" s="15"/>
      <c r="B21" s="1">
        <v>152</v>
      </c>
      <c r="C21" s="16" t="s">
        <v>405</v>
      </c>
      <c r="D21" s="26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>
        <v>579.58000000000004</v>
      </c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9"/>
    </row>
    <row r="22" spans="1:116" ht="12" customHeight="1" x14ac:dyDescent="0.2">
      <c r="A22" s="15"/>
      <c r="B22" s="1">
        <v>171</v>
      </c>
      <c r="C22" s="16" t="s">
        <v>406</v>
      </c>
      <c r="D22" s="26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>
        <v>946.44</v>
      </c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9"/>
    </row>
    <row r="23" spans="1:116" ht="12" customHeight="1" x14ac:dyDescent="0.2">
      <c r="A23" s="15"/>
      <c r="B23" s="1">
        <v>173</v>
      </c>
      <c r="C23" s="16" t="s">
        <v>407</v>
      </c>
      <c r="D23" s="26">
        <v>93.18</v>
      </c>
      <c r="E23" s="34">
        <v>101.47</v>
      </c>
      <c r="F23" s="34">
        <v>6.76</v>
      </c>
      <c r="G23" s="34">
        <v>93.18</v>
      </c>
      <c r="H23" s="34">
        <v>93.18</v>
      </c>
      <c r="I23" s="34">
        <v>46.59</v>
      </c>
      <c r="J23" s="34">
        <v>101.47</v>
      </c>
      <c r="K23" s="34">
        <v>34.17</v>
      </c>
      <c r="L23" s="34">
        <v>101.47</v>
      </c>
      <c r="M23" s="34">
        <v>74.55</v>
      </c>
      <c r="N23" s="34">
        <v>101.47</v>
      </c>
      <c r="O23" s="34">
        <v>101.47</v>
      </c>
      <c r="P23" s="34">
        <v>136.28</v>
      </c>
      <c r="Q23" s="34">
        <v>93.18</v>
      </c>
      <c r="R23" s="34">
        <v>119.45</v>
      </c>
      <c r="S23" s="34">
        <v>101.47</v>
      </c>
      <c r="T23" s="34">
        <v>37.86</v>
      </c>
      <c r="U23" s="34">
        <v>101.47</v>
      </c>
      <c r="V23" s="34">
        <v>93.18</v>
      </c>
      <c r="W23" s="34">
        <v>87.61</v>
      </c>
      <c r="X23" s="34">
        <v>93.18</v>
      </c>
      <c r="Y23" s="34">
        <v>87.61</v>
      </c>
      <c r="Z23" s="34">
        <v>93.18</v>
      </c>
      <c r="AA23" s="34">
        <v>101.47</v>
      </c>
      <c r="AB23" s="34">
        <v>64.239999999999995</v>
      </c>
      <c r="AC23" s="34">
        <v>71.44</v>
      </c>
      <c r="AD23" s="34">
        <v>93.18</v>
      </c>
      <c r="AE23" s="34">
        <v>101.47</v>
      </c>
      <c r="AF23" s="34">
        <v>136.28</v>
      </c>
      <c r="AG23" s="34">
        <v>136.28</v>
      </c>
      <c r="AH23" s="34">
        <v>101.47</v>
      </c>
      <c r="AI23" s="34">
        <v>87.61</v>
      </c>
      <c r="AJ23" s="34">
        <v>101.47</v>
      </c>
      <c r="AK23" s="34">
        <v>3.38</v>
      </c>
      <c r="AL23" s="34"/>
      <c r="AM23" s="34">
        <v>126.18</v>
      </c>
      <c r="AN23" s="34">
        <v>87.61</v>
      </c>
      <c r="AO23" s="34">
        <v>101.47</v>
      </c>
      <c r="AP23" s="34">
        <v>101.47</v>
      </c>
      <c r="AQ23" s="34">
        <v>101.47</v>
      </c>
      <c r="AR23" s="34">
        <v>61.32</v>
      </c>
      <c r="AS23" s="34">
        <v>101.47</v>
      </c>
      <c r="AT23" s="34">
        <v>93.18</v>
      </c>
      <c r="AU23" s="34">
        <v>87.61</v>
      </c>
      <c r="AV23" s="34">
        <v>126.18</v>
      </c>
      <c r="AW23" s="34">
        <v>101.47</v>
      </c>
      <c r="AX23" s="34">
        <v>77.650000000000006</v>
      </c>
      <c r="AY23" s="34">
        <v>93.18</v>
      </c>
      <c r="AZ23" s="34">
        <v>87.61</v>
      </c>
      <c r="BA23" s="34">
        <v>101.47</v>
      </c>
      <c r="BB23" s="34"/>
      <c r="BC23" s="34">
        <v>87.61</v>
      </c>
      <c r="BD23" s="34">
        <v>69.89</v>
      </c>
      <c r="BE23" s="34">
        <v>101.47</v>
      </c>
      <c r="BF23" s="34"/>
      <c r="BG23" s="34">
        <v>87.61</v>
      </c>
      <c r="BH23" s="34">
        <v>93.18</v>
      </c>
      <c r="BI23" s="34">
        <v>87.61</v>
      </c>
      <c r="BJ23" s="34">
        <v>87.61</v>
      </c>
      <c r="BK23" s="34">
        <v>101.47</v>
      </c>
      <c r="BL23" s="34">
        <v>119.45</v>
      </c>
      <c r="BM23" s="34">
        <v>119.45</v>
      </c>
      <c r="BN23" s="34">
        <v>87.61</v>
      </c>
      <c r="BO23" s="34">
        <v>87.61</v>
      </c>
      <c r="BP23" s="34">
        <v>73.010000000000005</v>
      </c>
      <c r="BQ23" s="34">
        <v>87.61</v>
      </c>
      <c r="BR23" s="34">
        <v>93.18</v>
      </c>
      <c r="BS23" s="34">
        <v>101.47</v>
      </c>
      <c r="BT23" s="34">
        <v>126.18</v>
      </c>
      <c r="BU23" s="34">
        <v>87.61</v>
      </c>
      <c r="BV23" s="34">
        <v>58.4</v>
      </c>
      <c r="BW23" s="34">
        <v>93.18</v>
      </c>
      <c r="BX23" s="34">
        <v>101.47</v>
      </c>
      <c r="BY23" s="34">
        <v>93.18</v>
      </c>
      <c r="BZ23" s="34">
        <v>93.18</v>
      </c>
      <c r="CA23" s="34">
        <v>101.47</v>
      </c>
      <c r="CB23" s="34">
        <v>119.45</v>
      </c>
      <c r="CC23" s="34">
        <v>101.47</v>
      </c>
      <c r="CD23" s="34">
        <v>93.18</v>
      </c>
      <c r="CE23" s="34">
        <v>87.61</v>
      </c>
      <c r="CF23" s="34">
        <v>87.61</v>
      </c>
      <c r="CG23" s="34">
        <v>87.61</v>
      </c>
      <c r="CH23" s="34">
        <v>119.45</v>
      </c>
      <c r="CI23" s="34">
        <v>87.61</v>
      </c>
      <c r="CJ23" s="34">
        <v>87.61</v>
      </c>
      <c r="CK23" s="34">
        <v>87.61</v>
      </c>
      <c r="CL23" s="34">
        <v>87.61</v>
      </c>
      <c r="CM23" s="34">
        <v>87.61</v>
      </c>
      <c r="CN23" s="34">
        <v>87.61</v>
      </c>
      <c r="CO23" s="34">
        <v>2.92</v>
      </c>
      <c r="CP23" s="34">
        <v>87.61</v>
      </c>
      <c r="CQ23" s="34"/>
      <c r="CR23" s="34">
        <v>87.61</v>
      </c>
      <c r="CS23" s="34">
        <v>87.61</v>
      </c>
      <c r="CT23" s="34">
        <v>78.849999999999994</v>
      </c>
      <c r="CU23" s="34">
        <v>87.61</v>
      </c>
      <c r="CV23" s="34">
        <v>87.61</v>
      </c>
      <c r="CW23" s="34">
        <v>87.61</v>
      </c>
      <c r="CX23" s="34"/>
      <c r="CY23" s="34">
        <v>87.61</v>
      </c>
      <c r="CZ23" s="34">
        <v>65.7</v>
      </c>
      <c r="DA23" s="34">
        <v>93.18</v>
      </c>
      <c r="DB23" s="34">
        <v>93.18</v>
      </c>
      <c r="DC23" s="34">
        <v>87.61</v>
      </c>
      <c r="DD23" s="34">
        <v>126.18</v>
      </c>
      <c r="DE23" s="34">
        <v>68.33</v>
      </c>
      <c r="DF23" s="34">
        <v>55.48</v>
      </c>
      <c r="DG23" s="34">
        <v>68.33</v>
      </c>
      <c r="DH23" s="34">
        <v>58.4</v>
      </c>
      <c r="DI23" s="34">
        <v>55.48</v>
      </c>
      <c r="DJ23" s="34">
        <v>55.48</v>
      </c>
      <c r="DK23" s="34">
        <v>37.270000000000003</v>
      </c>
      <c r="DL23" s="9">
        <v>10.15</v>
      </c>
    </row>
    <row r="24" spans="1:116" ht="12" customHeight="1" x14ac:dyDescent="0.2">
      <c r="A24" s="15"/>
      <c r="B24" s="1">
        <v>174</v>
      </c>
      <c r="C24" s="16" t="s">
        <v>408</v>
      </c>
      <c r="D24" s="26">
        <v>93.18</v>
      </c>
      <c r="E24" s="34">
        <v>101.47</v>
      </c>
      <c r="F24" s="34">
        <v>6.76</v>
      </c>
      <c r="G24" s="34">
        <v>93.18</v>
      </c>
      <c r="H24" s="34">
        <v>93.18</v>
      </c>
      <c r="I24" s="34">
        <v>46.59</v>
      </c>
      <c r="J24" s="34">
        <v>101.47</v>
      </c>
      <c r="K24" s="34">
        <v>34.17</v>
      </c>
      <c r="L24" s="34">
        <v>101.47</v>
      </c>
      <c r="M24" s="34">
        <v>74.55</v>
      </c>
      <c r="N24" s="34">
        <v>101.47</v>
      </c>
      <c r="O24" s="34">
        <v>101.47</v>
      </c>
      <c r="P24" s="34">
        <v>136.28</v>
      </c>
      <c r="Q24" s="34">
        <v>93.18</v>
      </c>
      <c r="R24" s="34">
        <v>119.45</v>
      </c>
      <c r="S24" s="34">
        <v>101.47</v>
      </c>
      <c r="T24" s="34">
        <v>37.86</v>
      </c>
      <c r="U24" s="34">
        <v>101.47</v>
      </c>
      <c r="V24" s="34">
        <v>93.18</v>
      </c>
      <c r="W24" s="34">
        <v>87.61</v>
      </c>
      <c r="X24" s="34">
        <v>93.18</v>
      </c>
      <c r="Y24" s="34">
        <v>87.61</v>
      </c>
      <c r="Z24" s="34">
        <v>93.18</v>
      </c>
      <c r="AA24" s="34">
        <v>101.47</v>
      </c>
      <c r="AB24" s="34">
        <v>64.239999999999995</v>
      </c>
      <c r="AC24" s="34">
        <v>71.44</v>
      </c>
      <c r="AD24" s="34">
        <v>93.18</v>
      </c>
      <c r="AE24" s="34">
        <v>101.47</v>
      </c>
      <c r="AF24" s="34">
        <v>136.28</v>
      </c>
      <c r="AG24" s="34">
        <v>136.28</v>
      </c>
      <c r="AH24" s="34">
        <v>101.47</v>
      </c>
      <c r="AI24" s="34">
        <v>87.61</v>
      </c>
      <c r="AJ24" s="34">
        <v>101.47</v>
      </c>
      <c r="AK24" s="34">
        <v>3.38</v>
      </c>
      <c r="AL24" s="34"/>
      <c r="AM24" s="34">
        <v>126.18</v>
      </c>
      <c r="AN24" s="34">
        <v>87.61</v>
      </c>
      <c r="AO24" s="34">
        <v>101.47</v>
      </c>
      <c r="AP24" s="34">
        <v>101.47</v>
      </c>
      <c r="AQ24" s="34">
        <v>101.47</v>
      </c>
      <c r="AR24" s="34">
        <v>61.32</v>
      </c>
      <c r="AS24" s="34">
        <v>101.47</v>
      </c>
      <c r="AT24" s="34">
        <v>93.18</v>
      </c>
      <c r="AU24" s="34">
        <v>87.61</v>
      </c>
      <c r="AV24" s="34">
        <v>126.18</v>
      </c>
      <c r="AW24" s="34">
        <v>101.47</v>
      </c>
      <c r="AX24" s="34">
        <v>77.650000000000006</v>
      </c>
      <c r="AY24" s="34">
        <v>93.18</v>
      </c>
      <c r="AZ24" s="34">
        <v>87.61</v>
      </c>
      <c r="BA24" s="34">
        <v>101.47</v>
      </c>
      <c r="BB24" s="34"/>
      <c r="BC24" s="34">
        <v>87.61</v>
      </c>
      <c r="BD24" s="34">
        <v>69.89</v>
      </c>
      <c r="BE24" s="34">
        <v>101.47</v>
      </c>
      <c r="BF24" s="34"/>
      <c r="BG24" s="34">
        <v>87.61</v>
      </c>
      <c r="BH24" s="34">
        <v>93.18</v>
      </c>
      <c r="BI24" s="34">
        <v>87.61</v>
      </c>
      <c r="BJ24" s="34">
        <v>87.61</v>
      </c>
      <c r="BK24" s="34">
        <v>101.47</v>
      </c>
      <c r="BL24" s="34">
        <v>119.45</v>
      </c>
      <c r="BM24" s="34">
        <v>119.45</v>
      </c>
      <c r="BN24" s="34">
        <v>87.61</v>
      </c>
      <c r="BO24" s="34">
        <v>87.61</v>
      </c>
      <c r="BP24" s="34">
        <v>73.010000000000005</v>
      </c>
      <c r="BQ24" s="34">
        <v>87.61</v>
      </c>
      <c r="BR24" s="34">
        <v>93.18</v>
      </c>
      <c r="BS24" s="34">
        <v>101.47</v>
      </c>
      <c r="BT24" s="34">
        <v>126.18</v>
      </c>
      <c r="BU24" s="34">
        <v>87.61</v>
      </c>
      <c r="BV24" s="34">
        <v>58.4</v>
      </c>
      <c r="BW24" s="34">
        <v>93.18</v>
      </c>
      <c r="BX24" s="34">
        <v>101.47</v>
      </c>
      <c r="BY24" s="34">
        <v>93.18</v>
      </c>
      <c r="BZ24" s="34">
        <v>93.18</v>
      </c>
      <c r="CA24" s="34">
        <v>101.47</v>
      </c>
      <c r="CB24" s="34">
        <v>119.45</v>
      </c>
      <c r="CC24" s="34">
        <v>101.47</v>
      </c>
      <c r="CD24" s="34">
        <v>93.18</v>
      </c>
      <c r="CE24" s="34">
        <v>87.61</v>
      </c>
      <c r="CF24" s="34">
        <v>87.61</v>
      </c>
      <c r="CG24" s="34">
        <v>87.61</v>
      </c>
      <c r="CH24" s="34">
        <v>119.45</v>
      </c>
      <c r="CI24" s="34">
        <v>87.61</v>
      </c>
      <c r="CJ24" s="34">
        <v>87.61</v>
      </c>
      <c r="CK24" s="34">
        <v>87.61</v>
      </c>
      <c r="CL24" s="34">
        <v>87.61</v>
      </c>
      <c r="CM24" s="34">
        <v>87.61</v>
      </c>
      <c r="CN24" s="34">
        <v>87.61</v>
      </c>
      <c r="CO24" s="34">
        <v>2.92</v>
      </c>
      <c r="CP24" s="34">
        <v>87.61</v>
      </c>
      <c r="CQ24" s="34"/>
      <c r="CR24" s="34">
        <v>87.61</v>
      </c>
      <c r="CS24" s="34">
        <v>87.61</v>
      </c>
      <c r="CT24" s="34">
        <v>78.849999999999994</v>
      </c>
      <c r="CU24" s="34">
        <v>87.61</v>
      </c>
      <c r="CV24" s="34">
        <v>87.61</v>
      </c>
      <c r="CW24" s="34">
        <v>87.61</v>
      </c>
      <c r="CX24" s="34"/>
      <c r="CY24" s="34">
        <v>87.61</v>
      </c>
      <c r="CZ24" s="34">
        <v>65.7</v>
      </c>
      <c r="DA24" s="34">
        <v>93.18</v>
      </c>
      <c r="DB24" s="34">
        <v>93.18</v>
      </c>
      <c r="DC24" s="34">
        <v>87.61</v>
      </c>
      <c r="DD24" s="34">
        <v>126.18</v>
      </c>
      <c r="DE24" s="34">
        <v>68.33</v>
      </c>
      <c r="DF24" s="34">
        <v>55.48</v>
      </c>
      <c r="DG24" s="34">
        <v>68.33</v>
      </c>
      <c r="DH24" s="34">
        <v>58.4</v>
      </c>
      <c r="DI24" s="34">
        <v>55.48</v>
      </c>
      <c r="DJ24" s="34">
        <v>55.48</v>
      </c>
      <c r="DK24" s="34">
        <v>37.270000000000003</v>
      </c>
      <c r="DL24" s="9">
        <v>10.15</v>
      </c>
    </row>
    <row r="25" spans="1:116" ht="12" customHeight="1" x14ac:dyDescent="0.2">
      <c r="A25" s="15"/>
      <c r="B25" s="1">
        <v>175</v>
      </c>
      <c r="C25" s="16" t="s">
        <v>409</v>
      </c>
      <c r="D25" s="26">
        <v>93.18</v>
      </c>
      <c r="E25" s="34">
        <v>101.47</v>
      </c>
      <c r="F25" s="34">
        <v>6.76</v>
      </c>
      <c r="G25" s="34">
        <v>93.18</v>
      </c>
      <c r="H25" s="34">
        <v>93.18</v>
      </c>
      <c r="I25" s="34">
        <v>46.59</v>
      </c>
      <c r="J25" s="34">
        <v>101.47</v>
      </c>
      <c r="K25" s="34">
        <v>34.17</v>
      </c>
      <c r="L25" s="34">
        <v>101.47</v>
      </c>
      <c r="M25" s="34">
        <v>74.55</v>
      </c>
      <c r="N25" s="34">
        <v>101.47</v>
      </c>
      <c r="O25" s="34">
        <v>101.47</v>
      </c>
      <c r="P25" s="34">
        <v>136.28</v>
      </c>
      <c r="Q25" s="34">
        <v>93.18</v>
      </c>
      <c r="R25" s="34">
        <v>119.45</v>
      </c>
      <c r="S25" s="34">
        <v>101.47</v>
      </c>
      <c r="T25" s="34">
        <v>37.86</v>
      </c>
      <c r="U25" s="34">
        <v>101.47</v>
      </c>
      <c r="V25" s="34">
        <v>93.18</v>
      </c>
      <c r="W25" s="34">
        <v>87.61</v>
      </c>
      <c r="X25" s="34">
        <v>93.18</v>
      </c>
      <c r="Y25" s="34">
        <v>87.61</v>
      </c>
      <c r="Z25" s="34">
        <v>93.18</v>
      </c>
      <c r="AA25" s="34">
        <v>101.47</v>
      </c>
      <c r="AB25" s="34">
        <v>64.239999999999995</v>
      </c>
      <c r="AC25" s="34">
        <v>71.44</v>
      </c>
      <c r="AD25" s="34">
        <v>93.18</v>
      </c>
      <c r="AE25" s="34">
        <v>101.47</v>
      </c>
      <c r="AF25" s="34">
        <v>136.28</v>
      </c>
      <c r="AG25" s="34">
        <v>136.28</v>
      </c>
      <c r="AH25" s="34">
        <v>101.47</v>
      </c>
      <c r="AI25" s="34">
        <v>87.61</v>
      </c>
      <c r="AJ25" s="34">
        <v>101.47</v>
      </c>
      <c r="AK25" s="34">
        <v>3.38</v>
      </c>
      <c r="AL25" s="34"/>
      <c r="AM25" s="34">
        <v>126.18</v>
      </c>
      <c r="AN25" s="34">
        <v>87.61</v>
      </c>
      <c r="AO25" s="34">
        <v>101.47</v>
      </c>
      <c r="AP25" s="34">
        <v>101.47</v>
      </c>
      <c r="AQ25" s="34">
        <v>101.47</v>
      </c>
      <c r="AR25" s="34">
        <v>61.32</v>
      </c>
      <c r="AS25" s="34">
        <v>101.47</v>
      </c>
      <c r="AT25" s="34">
        <v>93.18</v>
      </c>
      <c r="AU25" s="34">
        <v>87.61</v>
      </c>
      <c r="AV25" s="34">
        <v>126.18</v>
      </c>
      <c r="AW25" s="34">
        <v>101.47</v>
      </c>
      <c r="AX25" s="34">
        <v>77.650000000000006</v>
      </c>
      <c r="AY25" s="34">
        <v>93.18</v>
      </c>
      <c r="AZ25" s="34">
        <v>87.61</v>
      </c>
      <c r="BA25" s="34">
        <v>101.47</v>
      </c>
      <c r="BB25" s="34"/>
      <c r="BC25" s="34">
        <v>87.61</v>
      </c>
      <c r="BD25" s="34">
        <v>69.89</v>
      </c>
      <c r="BE25" s="34">
        <v>101.47</v>
      </c>
      <c r="BF25" s="34"/>
      <c r="BG25" s="34">
        <v>87.61</v>
      </c>
      <c r="BH25" s="34">
        <v>93.18</v>
      </c>
      <c r="BI25" s="34">
        <v>87.61</v>
      </c>
      <c r="BJ25" s="34">
        <v>87.61</v>
      </c>
      <c r="BK25" s="34">
        <v>101.47</v>
      </c>
      <c r="BL25" s="34">
        <v>119.45</v>
      </c>
      <c r="BM25" s="34">
        <v>119.45</v>
      </c>
      <c r="BN25" s="34">
        <v>87.61</v>
      </c>
      <c r="BO25" s="34">
        <v>87.61</v>
      </c>
      <c r="BP25" s="34">
        <v>73.010000000000005</v>
      </c>
      <c r="BQ25" s="34">
        <v>87.61</v>
      </c>
      <c r="BR25" s="34">
        <v>93.18</v>
      </c>
      <c r="BS25" s="34">
        <v>101.47</v>
      </c>
      <c r="BT25" s="34">
        <v>126.18</v>
      </c>
      <c r="BU25" s="34">
        <v>87.61</v>
      </c>
      <c r="BV25" s="34">
        <v>58.4</v>
      </c>
      <c r="BW25" s="34">
        <v>93.18</v>
      </c>
      <c r="BX25" s="34">
        <v>101.47</v>
      </c>
      <c r="BY25" s="34">
        <v>93.18</v>
      </c>
      <c r="BZ25" s="34">
        <v>93.18</v>
      </c>
      <c r="CA25" s="34">
        <v>101.47</v>
      </c>
      <c r="CB25" s="34">
        <v>119.45</v>
      </c>
      <c r="CC25" s="34">
        <v>101.47</v>
      </c>
      <c r="CD25" s="34">
        <v>93.18</v>
      </c>
      <c r="CE25" s="34">
        <v>87.61</v>
      </c>
      <c r="CF25" s="34">
        <v>87.61</v>
      </c>
      <c r="CG25" s="34">
        <v>87.61</v>
      </c>
      <c r="CH25" s="34">
        <v>119.45</v>
      </c>
      <c r="CI25" s="34">
        <v>87.61</v>
      </c>
      <c r="CJ25" s="34">
        <v>87.61</v>
      </c>
      <c r="CK25" s="34">
        <v>87.61</v>
      </c>
      <c r="CL25" s="34">
        <v>87.61</v>
      </c>
      <c r="CM25" s="34">
        <v>87.61</v>
      </c>
      <c r="CN25" s="34">
        <v>87.61</v>
      </c>
      <c r="CO25" s="34">
        <v>2.92</v>
      </c>
      <c r="CP25" s="34">
        <v>87.61</v>
      </c>
      <c r="CQ25" s="34"/>
      <c r="CR25" s="34">
        <v>87.61</v>
      </c>
      <c r="CS25" s="34">
        <v>87.61</v>
      </c>
      <c r="CT25" s="34">
        <v>78.849999999999994</v>
      </c>
      <c r="CU25" s="34">
        <v>87.61</v>
      </c>
      <c r="CV25" s="34">
        <v>87.61</v>
      </c>
      <c r="CW25" s="34">
        <v>87.61</v>
      </c>
      <c r="CX25" s="34"/>
      <c r="CY25" s="34">
        <v>87.61</v>
      </c>
      <c r="CZ25" s="34">
        <v>65.7</v>
      </c>
      <c r="DA25" s="34">
        <v>93.18</v>
      </c>
      <c r="DB25" s="34">
        <v>93.18</v>
      </c>
      <c r="DC25" s="34">
        <v>87.61</v>
      </c>
      <c r="DD25" s="34">
        <v>126.18</v>
      </c>
      <c r="DE25" s="34">
        <v>68.33</v>
      </c>
      <c r="DF25" s="34">
        <v>55.48</v>
      </c>
      <c r="DG25" s="34">
        <v>68.33</v>
      </c>
      <c r="DH25" s="34">
        <v>58.4</v>
      </c>
      <c r="DI25" s="34">
        <v>55.48</v>
      </c>
      <c r="DJ25" s="34">
        <v>55.48</v>
      </c>
      <c r="DK25" s="34">
        <v>37.270000000000003</v>
      </c>
      <c r="DL25" s="9">
        <v>10.15</v>
      </c>
    </row>
    <row r="26" spans="1:116" ht="12" customHeight="1" x14ac:dyDescent="0.2">
      <c r="A26" s="15"/>
      <c r="B26" s="1">
        <v>187</v>
      </c>
      <c r="C26" s="16" t="s">
        <v>410</v>
      </c>
      <c r="D26" s="26">
        <v>55.6</v>
      </c>
      <c r="E26" s="34"/>
      <c r="F26" s="34">
        <v>6.6</v>
      </c>
      <c r="G26" s="34">
        <v>0.28999999999999998</v>
      </c>
      <c r="H26" s="34">
        <v>16.28</v>
      </c>
      <c r="I26" s="34"/>
      <c r="J26" s="34">
        <v>1301.47</v>
      </c>
      <c r="K26" s="34">
        <v>21.74</v>
      </c>
      <c r="L26" s="34"/>
      <c r="M26" s="34">
        <v>0.28999999999999998</v>
      </c>
      <c r="N26" s="34"/>
      <c r="O26" s="34"/>
      <c r="P26" s="34"/>
      <c r="Q26" s="34">
        <v>2.86</v>
      </c>
      <c r="R26" s="34"/>
      <c r="S26" s="34"/>
      <c r="T26" s="34"/>
      <c r="U26" s="34"/>
      <c r="V26" s="34"/>
      <c r="W26" s="34">
        <v>63.76</v>
      </c>
      <c r="X26" s="34">
        <v>15.29</v>
      </c>
      <c r="Y26" s="34">
        <v>281.45</v>
      </c>
      <c r="Z26" s="34"/>
      <c r="AA26" s="34">
        <v>300</v>
      </c>
      <c r="AB26" s="34">
        <v>366.67</v>
      </c>
      <c r="AC26" s="34">
        <v>18.329999999999998</v>
      </c>
      <c r="AD26" s="34">
        <v>1.17</v>
      </c>
      <c r="AE26" s="34"/>
      <c r="AF26" s="34"/>
      <c r="AG26" s="34"/>
      <c r="AH26" s="34"/>
      <c r="AI26" s="34">
        <v>145.88</v>
      </c>
      <c r="AJ26" s="34">
        <v>250</v>
      </c>
      <c r="AK26" s="34">
        <v>3.5</v>
      </c>
      <c r="AL26" s="34"/>
      <c r="AM26" s="34"/>
      <c r="AN26" s="34">
        <v>92.91</v>
      </c>
      <c r="AO26" s="34"/>
      <c r="AP26" s="34"/>
      <c r="AQ26" s="34">
        <v>383.33</v>
      </c>
      <c r="AR26" s="34"/>
      <c r="AS26" s="34"/>
      <c r="AT26" s="34"/>
      <c r="AU26" s="34">
        <v>200</v>
      </c>
      <c r="AV26" s="34"/>
      <c r="AW26" s="34"/>
      <c r="AX26" s="34">
        <v>0.81</v>
      </c>
      <c r="AY26" s="34">
        <v>22.29</v>
      </c>
      <c r="AZ26" s="34"/>
      <c r="BA26" s="34"/>
      <c r="BB26" s="34"/>
      <c r="BC26" s="34">
        <v>26.95</v>
      </c>
      <c r="BD26" s="34"/>
      <c r="BE26" s="34"/>
      <c r="BF26" s="34"/>
      <c r="BG26" s="34">
        <v>30.32</v>
      </c>
      <c r="BH26" s="34"/>
      <c r="BI26" s="34"/>
      <c r="BJ26" s="34"/>
      <c r="BK26" s="34"/>
      <c r="BL26" s="34"/>
      <c r="BM26" s="34"/>
      <c r="BN26" s="34">
        <v>26.44</v>
      </c>
      <c r="BO26" s="34"/>
      <c r="BP26" s="34">
        <v>286.73</v>
      </c>
      <c r="BQ26" s="34">
        <v>15.4</v>
      </c>
      <c r="BR26" s="34"/>
      <c r="BS26" s="34">
        <v>100</v>
      </c>
      <c r="BT26" s="34"/>
      <c r="BU26" s="34">
        <v>60.24</v>
      </c>
      <c r="BV26" s="34"/>
      <c r="BW26" s="34">
        <v>136.22</v>
      </c>
      <c r="BX26" s="34">
        <v>145.19999999999999</v>
      </c>
      <c r="BY26" s="34">
        <v>0.84</v>
      </c>
      <c r="BZ26" s="34">
        <v>1.5</v>
      </c>
      <c r="CA26" s="34"/>
      <c r="CB26" s="34"/>
      <c r="CC26" s="34">
        <v>250</v>
      </c>
      <c r="CD26" s="34">
        <v>10.3</v>
      </c>
      <c r="CE26" s="34">
        <v>0.84</v>
      </c>
      <c r="CF26" s="34">
        <v>200</v>
      </c>
      <c r="CG26" s="34">
        <v>0.18</v>
      </c>
      <c r="CH26" s="34"/>
      <c r="CI26" s="34"/>
      <c r="CJ26" s="34">
        <v>4.6900000000000004</v>
      </c>
      <c r="CK26" s="34">
        <v>4.47</v>
      </c>
      <c r="CL26" s="34">
        <v>2.82</v>
      </c>
      <c r="CM26" s="34"/>
      <c r="CN26" s="34">
        <v>289.23</v>
      </c>
      <c r="CO26" s="34"/>
      <c r="CP26" s="34"/>
      <c r="CQ26" s="34"/>
      <c r="CR26" s="34">
        <v>7.0000000000000007E-2</v>
      </c>
      <c r="CS26" s="34">
        <v>4.55</v>
      </c>
      <c r="CT26" s="34">
        <v>241.56</v>
      </c>
      <c r="CU26" s="34">
        <v>4.03</v>
      </c>
      <c r="CV26" s="34"/>
      <c r="CW26" s="34">
        <v>258.68</v>
      </c>
      <c r="CX26" s="34"/>
      <c r="CY26" s="34">
        <v>11.22</v>
      </c>
      <c r="CZ26" s="34"/>
      <c r="DA26" s="34">
        <v>19.98</v>
      </c>
      <c r="DB26" s="34">
        <v>1.39</v>
      </c>
      <c r="DC26" s="34"/>
      <c r="DD26" s="34"/>
      <c r="DE26" s="34"/>
      <c r="DF26" s="34"/>
      <c r="DG26" s="34"/>
      <c r="DH26" s="34"/>
      <c r="DI26" s="34"/>
      <c r="DJ26" s="34"/>
      <c r="DK26" s="34"/>
      <c r="DL26" s="9"/>
    </row>
    <row r="27" spans="1:116" ht="12" customHeight="1" x14ac:dyDescent="0.2">
      <c r="A27" s="15"/>
      <c r="B27" s="1">
        <v>197</v>
      </c>
      <c r="C27" s="16" t="s">
        <v>411</v>
      </c>
      <c r="D27" s="26">
        <v>142.31</v>
      </c>
      <c r="E27" s="34"/>
      <c r="F27" s="34">
        <v>10.7</v>
      </c>
      <c r="G27" s="34">
        <v>510.13</v>
      </c>
      <c r="H27" s="34">
        <v>444.35</v>
      </c>
      <c r="I27" s="34">
        <v>415.97</v>
      </c>
      <c r="J27" s="34"/>
      <c r="K27" s="34">
        <v>187.05</v>
      </c>
      <c r="L27" s="34"/>
      <c r="M27" s="34">
        <v>173.57</v>
      </c>
      <c r="N27" s="34"/>
      <c r="O27" s="34">
        <v>660.84</v>
      </c>
      <c r="P27" s="34">
        <v>195.18</v>
      </c>
      <c r="Q27" s="34">
        <v>314.27</v>
      </c>
      <c r="R27" s="34">
        <v>2328.5100000000002</v>
      </c>
      <c r="S27" s="34"/>
      <c r="T27" s="34">
        <v>27.07</v>
      </c>
      <c r="U27" s="34"/>
      <c r="V27" s="34">
        <v>828.46</v>
      </c>
      <c r="W27" s="34"/>
      <c r="X27" s="34">
        <v>260.13</v>
      </c>
      <c r="Y27" s="34">
        <v>244.06</v>
      </c>
      <c r="Z27" s="34">
        <v>234.91</v>
      </c>
      <c r="AA27" s="34">
        <v>412.55</v>
      </c>
      <c r="AB27" s="34">
        <v>334.81</v>
      </c>
      <c r="AC27" s="34">
        <v>399.73</v>
      </c>
      <c r="AD27" s="34">
        <v>160.13</v>
      </c>
      <c r="AE27" s="34">
        <v>185.51</v>
      </c>
      <c r="AF27" s="34"/>
      <c r="AG27" s="34">
        <v>61.85</v>
      </c>
      <c r="AH27" s="34">
        <v>168.84</v>
      </c>
      <c r="AI27" s="34"/>
      <c r="AJ27" s="34">
        <v>235.51</v>
      </c>
      <c r="AK27" s="34">
        <v>6.67</v>
      </c>
      <c r="AL27" s="34"/>
      <c r="AM27" s="34">
        <v>438.57</v>
      </c>
      <c r="AN27" s="34">
        <v>304.91000000000003</v>
      </c>
      <c r="AO27" s="34">
        <v>985.51</v>
      </c>
      <c r="AP27" s="34">
        <v>746.77</v>
      </c>
      <c r="AQ27" s="34">
        <v>540.74</v>
      </c>
      <c r="AR27" s="34">
        <v>125.34</v>
      </c>
      <c r="AS27" s="34">
        <v>510.83</v>
      </c>
      <c r="AT27" s="34">
        <v>539.69000000000005</v>
      </c>
      <c r="AU27" s="34">
        <v>443.76</v>
      </c>
      <c r="AV27" s="34">
        <v>375.85</v>
      </c>
      <c r="AW27" s="34">
        <v>635.51</v>
      </c>
      <c r="AX27" s="34">
        <v>216.77</v>
      </c>
      <c r="AY27" s="34">
        <v>323.7</v>
      </c>
      <c r="AZ27" s="34">
        <v>144.06</v>
      </c>
      <c r="BA27" s="34"/>
      <c r="BB27" s="34"/>
      <c r="BC27" s="34">
        <v>94.06</v>
      </c>
      <c r="BD27" s="34"/>
      <c r="BE27" s="34">
        <v>244.17</v>
      </c>
      <c r="BF27" s="34"/>
      <c r="BG27" s="34">
        <v>19.059999999999999</v>
      </c>
      <c r="BH27" s="34">
        <v>426.8</v>
      </c>
      <c r="BI27" s="34"/>
      <c r="BJ27" s="34">
        <v>627.39</v>
      </c>
      <c r="BK27" s="34">
        <v>813.98</v>
      </c>
      <c r="BL27" s="34">
        <v>867.47</v>
      </c>
      <c r="BM27" s="34">
        <v>931.77</v>
      </c>
      <c r="BN27" s="34"/>
      <c r="BO27" s="34"/>
      <c r="BP27" s="34">
        <v>78.38</v>
      </c>
      <c r="BQ27" s="34"/>
      <c r="BR27" s="34">
        <v>793.46</v>
      </c>
      <c r="BS27" s="34">
        <v>488.85</v>
      </c>
      <c r="BT27" s="34">
        <v>209.4</v>
      </c>
      <c r="BU27" s="34">
        <v>44.06</v>
      </c>
      <c r="BV27" s="34"/>
      <c r="BW27" s="34">
        <v>60.13</v>
      </c>
      <c r="BX27" s="34">
        <v>71.27</v>
      </c>
      <c r="BY27" s="34">
        <v>160.13</v>
      </c>
      <c r="BZ27" s="34">
        <v>110.13</v>
      </c>
      <c r="CA27" s="34">
        <v>763.99</v>
      </c>
      <c r="CB27" s="34">
        <v>927</v>
      </c>
      <c r="CC27" s="34">
        <v>219.13</v>
      </c>
      <c r="CD27" s="34">
        <v>160.13</v>
      </c>
      <c r="CE27" s="34">
        <v>244.06</v>
      </c>
      <c r="CF27" s="34">
        <v>594.05999999999995</v>
      </c>
      <c r="CG27" s="34">
        <v>344.06</v>
      </c>
      <c r="CH27" s="34">
        <v>1815.1</v>
      </c>
      <c r="CI27" s="34">
        <v>710.72</v>
      </c>
      <c r="CJ27" s="34">
        <v>919.06</v>
      </c>
      <c r="CK27" s="34">
        <v>106.58</v>
      </c>
      <c r="CL27" s="34">
        <v>206.58</v>
      </c>
      <c r="CM27" s="34">
        <v>106.58</v>
      </c>
      <c r="CN27" s="34"/>
      <c r="CO27" s="34">
        <v>3.55</v>
      </c>
      <c r="CP27" s="34">
        <v>106.58</v>
      </c>
      <c r="CQ27" s="34"/>
      <c r="CR27" s="34"/>
      <c r="CS27" s="34"/>
      <c r="CT27" s="34"/>
      <c r="CU27" s="34">
        <v>327.41000000000003</v>
      </c>
      <c r="CV27" s="34">
        <v>2.41</v>
      </c>
      <c r="CW27" s="34"/>
      <c r="CX27" s="34"/>
      <c r="CY27" s="34"/>
      <c r="CZ27" s="34"/>
      <c r="DA27" s="34">
        <v>60.13</v>
      </c>
      <c r="DB27" s="34">
        <v>60.13</v>
      </c>
      <c r="DC27" s="34">
        <v>377.39</v>
      </c>
      <c r="DD27" s="34">
        <v>1352.2</v>
      </c>
      <c r="DE27" s="34">
        <v>117.43</v>
      </c>
      <c r="DF27" s="34">
        <v>91.24</v>
      </c>
      <c r="DG27" s="34">
        <v>117.43</v>
      </c>
      <c r="DH27" s="34">
        <v>71.05</v>
      </c>
      <c r="DI27" s="34"/>
      <c r="DJ27" s="34"/>
      <c r="DK27" s="34">
        <v>104.05</v>
      </c>
      <c r="DL27" s="9">
        <v>100.22</v>
      </c>
    </row>
    <row r="28" spans="1:116" ht="12" customHeight="1" x14ac:dyDescent="0.2">
      <c r="A28" s="15"/>
      <c r="B28" s="1">
        <v>199</v>
      </c>
      <c r="C28" s="16" t="s">
        <v>412</v>
      </c>
      <c r="D28" s="26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>
        <v>1566.07</v>
      </c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9"/>
    </row>
    <row r="29" spans="1:116" ht="12" customHeight="1" x14ac:dyDescent="0.2">
      <c r="A29" s="15"/>
      <c r="B29" s="1">
        <v>229</v>
      </c>
      <c r="C29" s="16" t="s">
        <v>413</v>
      </c>
      <c r="D29" s="26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>
        <v>333.33</v>
      </c>
      <c r="BN29" s="34"/>
      <c r="BO29" s="34"/>
      <c r="BP29" s="34"/>
      <c r="BQ29" s="34"/>
      <c r="BR29" s="34"/>
      <c r="BS29" s="34"/>
      <c r="BT29" s="34">
        <v>541.66999999999996</v>
      </c>
      <c r="BU29" s="34"/>
      <c r="BV29" s="34"/>
      <c r="BW29" s="34"/>
      <c r="BX29" s="34"/>
      <c r="BY29" s="34"/>
      <c r="BZ29" s="34"/>
      <c r="CA29" s="34"/>
      <c r="CB29" s="34">
        <v>375</v>
      </c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9"/>
    </row>
    <row r="30" spans="1:116" ht="12" customHeight="1" x14ac:dyDescent="0.2">
      <c r="A30" s="15"/>
      <c r="B30" s="1">
        <v>262</v>
      </c>
      <c r="C30" s="16" t="s">
        <v>414</v>
      </c>
      <c r="D30" s="26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>
        <v>500</v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9"/>
    </row>
    <row r="31" spans="1:116" ht="12" customHeight="1" x14ac:dyDescent="0.2">
      <c r="A31" s="15"/>
      <c r="B31" s="1">
        <v>287</v>
      </c>
      <c r="C31" s="16" t="s">
        <v>415</v>
      </c>
      <c r="D31" s="26">
        <v>74.150000000000006</v>
      </c>
      <c r="E31" s="34">
        <v>74.459999999999994</v>
      </c>
      <c r="F31" s="34">
        <v>4.96</v>
      </c>
      <c r="G31" s="34">
        <v>74.150000000000006</v>
      </c>
      <c r="H31" s="34">
        <v>74.150000000000006</v>
      </c>
      <c r="I31" s="34">
        <v>37.08</v>
      </c>
      <c r="J31" s="34">
        <v>74.459999999999994</v>
      </c>
      <c r="K31" s="34">
        <v>27.19</v>
      </c>
      <c r="L31" s="34">
        <v>74.459999999999994</v>
      </c>
      <c r="M31" s="34">
        <v>59.32</v>
      </c>
      <c r="N31" s="34">
        <v>74.459999999999994</v>
      </c>
      <c r="O31" s="34">
        <v>74.459999999999994</v>
      </c>
      <c r="P31" s="34">
        <v>75.739999999999995</v>
      </c>
      <c r="Q31" s="34">
        <v>74.150000000000006</v>
      </c>
      <c r="R31" s="34">
        <v>75.12</v>
      </c>
      <c r="S31" s="34">
        <v>74.459999999999994</v>
      </c>
      <c r="T31" s="34">
        <v>22.61</v>
      </c>
      <c r="U31" s="34">
        <v>74.459999999999994</v>
      </c>
      <c r="V31" s="34">
        <v>74.150000000000006</v>
      </c>
      <c r="W31" s="34">
        <v>73.84</v>
      </c>
      <c r="X31" s="34">
        <v>74.150000000000006</v>
      </c>
      <c r="Y31" s="34">
        <v>73.84</v>
      </c>
      <c r="Z31" s="34">
        <v>74.150000000000006</v>
      </c>
      <c r="AA31" s="34">
        <v>74.459999999999994</v>
      </c>
      <c r="AB31" s="34">
        <v>54.15</v>
      </c>
      <c r="AC31" s="34">
        <v>56.85</v>
      </c>
      <c r="AD31" s="34">
        <v>74.150000000000006</v>
      </c>
      <c r="AE31" s="34">
        <v>74.459999999999994</v>
      </c>
      <c r="AF31" s="34">
        <v>75.739999999999995</v>
      </c>
      <c r="AG31" s="34">
        <v>75.739999999999995</v>
      </c>
      <c r="AH31" s="34">
        <v>74.459999999999994</v>
      </c>
      <c r="AI31" s="34">
        <v>73.84</v>
      </c>
      <c r="AJ31" s="34">
        <v>74.459999999999994</v>
      </c>
      <c r="AK31" s="34">
        <v>2.48</v>
      </c>
      <c r="AL31" s="34"/>
      <c r="AM31" s="34">
        <v>75.37</v>
      </c>
      <c r="AN31" s="34">
        <v>73.84</v>
      </c>
      <c r="AO31" s="34">
        <v>74.459999999999994</v>
      </c>
      <c r="AP31" s="34">
        <v>74.459999999999994</v>
      </c>
      <c r="AQ31" s="34">
        <v>74.459999999999994</v>
      </c>
      <c r="AR31" s="34">
        <v>51.69</v>
      </c>
      <c r="AS31" s="34">
        <v>74.459999999999994</v>
      </c>
      <c r="AT31" s="34">
        <v>74.150000000000006</v>
      </c>
      <c r="AU31" s="34">
        <v>73.84</v>
      </c>
      <c r="AV31" s="34">
        <v>75.37</v>
      </c>
      <c r="AW31" s="34">
        <v>74.459999999999994</v>
      </c>
      <c r="AX31" s="34">
        <v>61.79</v>
      </c>
      <c r="AY31" s="34">
        <v>74.150000000000006</v>
      </c>
      <c r="AZ31" s="34">
        <v>73.84</v>
      </c>
      <c r="BA31" s="34">
        <v>74.459999999999994</v>
      </c>
      <c r="BB31" s="34"/>
      <c r="BC31" s="34">
        <v>73.84</v>
      </c>
      <c r="BD31" s="34">
        <v>55.61</v>
      </c>
      <c r="BE31" s="34">
        <v>74.459999999999994</v>
      </c>
      <c r="BF31" s="34"/>
      <c r="BG31" s="34">
        <v>73.84</v>
      </c>
      <c r="BH31" s="34">
        <v>74.150000000000006</v>
      </c>
      <c r="BI31" s="34">
        <v>73.84</v>
      </c>
      <c r="BJ31" s="34">
        <v>73.84</v>
      </c>
      <c r="BK31" s="34">
        <v>74.459999999999994</v>
      </c>
      <c r="BL31" s="34">
        <v>75.12</v>
      </c>
      <c r="BM31" s="34">
        <v>75.12</v>
      </c>
      <c r="BN31" s="34">
        <v>73.84</v>
      </c>
      <c r="BO31" s="34">
        <v>73.84</v>
      </c>
      <c r="BP31" s="34">
        <v>61.53</v>
      </c>
      <c r="BQ31" s="34">
        <v>73.84</v>
      </c>
      <c r="BR31" s="34">
        <v>74.150000000000006</v>
      </c>
      <c r="BS31" s="34">
        <v>74.459999999999994</v>
      </c>
      <c r="BT31" s="34">
        <v>75.37</v>
      </c>
      <c r="BU31" s="34">
        <v>73.84</v>
      </c>
      <c r="BV31" s="34">
        <v>49.23</v>
      </c>
      <c r="BW31" s="34">
        <v>74.150000000000006</v>
      </c>
      <c r="BX31" s="34">
        <v>74.459999999999994</v>
      </c>
      <c r="BY31" s="34">
        <v>74.150000000000006</v>
      </c>
      <c r="BZ31" s="34">
        <v>74.150000000000006</v>
      </c>
      <c r="CA31" s="34">
        <v>72.290000000000006</v>
      </c>
      <c r="CB31" s="34">
        <v>75.12</v>
      </c>
      <c r="CC31" s="34">
        <v>74.459999999999994</v>
      </c>
      <c r="CD31" s="34">
        <v>74.150000000000006</v>
      </c>
      <c r="CE31" s="34">
        <v>73.84</v>
      </c>
      <c r="CF31" s="34">
        <v>73.84</v>
      </c>
      <c r="CG31" s="34">
        <v>73.84</v>
      </c>
      <c r="CH31" s="34">
        <v>75.12</v>
      </c>
      <c r="CI31" s="34">
        <v>73.84</v>
      </c>
      <c r="CJ31" s="34">
        <v>73.84</v>
      </c>
      <c r="CK31" s="34">
        <v>73.84</v>
      </c>
      <c r="CL31" s="34">
        <v>73.84</v>
      </c>
      <c r="CM31" s="34">
        <v>73.84</v>
      </c>
      <c r="CN31" s="34">
        <v>73.84</v>
      </c>
      <c r="CO31" s="34">
        <v>2.46</v>
      </c>
      <c r="CP31" s="34">
        <v>73.84</v>
      </c>
      <c r="CQ31" s="34"/>
      <c r="CR31" s="34">
        <v>73.84</v>
      </c>
      <c r="CS31" s="34">
        <v>73.84</v>
      </c>
      <c r="CT31" s="34">
        <v>66.459999999999994</v>
      </c>
      <c r="CU31" s="34">
        <v>73.84</v>
      </c>
      <c r="CV31" s="34">
        <v>73.84</v>
      </c>
      <c r="CW31" s="34">
        <v>73.84</v>
      </c>
      <c r="CX31" s="34"/>
      <c r="CY31" s="34">
        <v>73.84</v>
      </c>
      <c r="CZ31" s="34">
        <v>55.38</v>
      </c>
      <c r="DA31" s="34">
        <v>74.150000000000006</v>
      </c>
      <c r="DB31" s="34">
        <v>74.150000000000006</v>
      </c>
      <c r="DC31" s="34">
        <v>73.84</v>
      </c>
      <c r="DD31" s="34">
        <v>75.37</v>
      </c>
      <c r="DE31" s="34">
        <v>54.38</v>
      </c>
      <c r="DF31" s="34">
        <v>46.77</v>
      </c>
      <c r="DG31" s="34">
        <v>54.38</v>
      </c>
      <c r="DH31" s="34">
        <v>49.23</v>
      </c>
      <c r="DI31" s="34">
        <v>46.77</v>
      </c>
      <c r="DJ31" s="34">
        <v>46.77</v>
      </c>
      <c r="DK31" s="34">
        <v>29.66</v>
      </c>
      <c r="DL31" s="9">
        <v>7.45</v>
      </c>
    </row>
    <row r="32" spans="1:116" ht="12" customHeight="1" x14ac:dyDescent="0.2">
      <c r="A32" s="15"/>
      <c r="B32" s="1">
        <v>306</v>
      </c>
      <c r="C32" s="16" t="s">
        <v>416</v>
      </c>
      <c r="D32" s="26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81.3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9"/>
    </row>
    <row r="33" spans="1:116" ht="12" customHeight="1" x14ac:dyDescent="0.2">
      <c r="A33" s="15"/>
      <c r="B33" s="1">
        <v>328</v>
      </c>
      <c r="C33" s="16" t="s">
        <v>417</v>
      </c>
      <c r="D33" s="26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>
        <v>203.65</v>
      </c>
      <c r="X33" s="34"/>
      <c r="Y33" s="34">
        <v>66.89</v>
      </c>
      <c r="Z33" s="34"/>
      <c r="AA33" s="34">
        <v>396.66</v>
      </c>
      <c r="AB33" s="34"/>
      <c r="AC33" s="34"/>
      <c r="AD33" s="34"/>
      <c r="AE33" s="34">
        <v>327.82</v>
      </c>
      <c r="AF33" s="34"/>
      <c r="AG33" s="34"/>
      <c r="AH33" s="34"/>
      <c r="AI33" s="34"/>
      <c r="AJ33" s="34"/>
      <c r="AK33" s="34"/>
      <c r="AL33" s="34"/>
      <c r="AM33" s="34"/>
      <c r="AN33" s="34">
        <v>70.75</v>
      </c>
      <c r="AO33" s="34">
        <v>463.32</v>
      </c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>
        <v>100.07</v>
      </c>
      <c r="BA33" s="34"/>
      <c r="BB33" s="34"/>
      <c r="BC33" s="34"/>
      <c r="BD33" s="34"/>
      <c r="BE33" s="34"/>
      <c r="BF33" s="34"/>
      <c r="BG33" s="34">
        <v>337.46</v>
      </c>
      <c r="BH33" s="34"/>
      <c r="BI33" s="34"/>
      <c r="BJ33" s="34"/>
      <c r="BK33" s="34"/>
      <c r="BL33" s="34"/>
      <c r="BM33" s="34"/>
      <c r="BN33" s="34"/>
      <c r="BO33" s="34"/>
      <c r="BP33" s="34">
        <v>131.88</v>
      </c>
      <c r="BQ33" s="34"/>
      <c r="BR33" s="34"/>
      <c r="BS33" s="34">
        <v>120</v>
      </c>
      <c r="BT33" s="34"/>
      <c r="BU33" s="34"/>
      <c r="BV33" s="34"/>
      <c r="BW33" s="34">
        <v>135.72999999999999</v>
      </c>
      <c r="BX33" s="34"/>
      <c r="BY33" s="34"/>
      <c r="BZ33" s="34">
        <v>118.89</v>
      </c>
      <c r="CA33" s="34"/>
      <c r="CB33" s="34"/>
      <c r="CC33" s="34">
        <v>499.99</v>
      </c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>
        <v>104.09</v>
      </c>
      <c r="CO33" s="34"/>
      <c r="CP33" s="34"/>
      <c r="CQ33" s="34"/>
      <c r="CR33" s="34"/>
      <c r="CS33" s="34"/>
      <c r="CT33" s="34">
        <v>80.98</v>
      </c>
      <c r="CU33" s="34"/>
      <c r="CV33" s="34"/>
      <c r="CW33" s="34"/>
      <c r="CX33" s="34"/>
      <c r="CY33" s="34">
        <v>105.39</v>
      </c>
      <c r="CZ33" s="34"/>
      <c r="DA33" s="34">
        <v>114.81</v>
      </c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9"/>
    </row>
    <row r="34" spans="1:116" ht="12" customHeight="1" x14ac:dyDescent="0.2">
      <c r="A34" s="15"/>
      <c r="B34" s="1">
        <v>329</v>
      </c>
      <c r="C34" s="16" t="s">
        <v>418</v>
      </c>
      <c r="D34" s="26"/>
      <c r="E34" s="34"/>
      <c r="F34" s="34"/>
      <c r="G34" s="34">
        <v>26</v>
      </c>
      <c r="H34" s="34">
        <v>50</v>
      </c>
      <c r="I34" s="34"/>
      <c r="J34" s="34"/>
      <c r="K34" s="34">
        <v>60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>
        <v>135</v>
      </c>
      <c r="Z34" s="34"/>
      <c r="AA34" s="34">
        <v>160</v>
      </c>
      <c r="AB34" s="34"/>
      <c r="AC34" s="34">
        <v>14</v>
      </c>
      <c r="AD34" s="34">
        <v>57</v>
      </c>
      <c r="AE34" s="34">
        <v>50</v>
      </c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>
        <v>52</v>
      </c>
      <c r="AZ34" s="34"/>
      <c r="BA34" s="34"/>
      <c r="BB34" s="34"/>
      <c r="BC34" s="34">
        <v>183</v>
      </c>
      <c r="BD34" s="34"/>
      <c r="BE34" s="34"/>
      <c r="BF34" s="34"/>
      <c r="BG34" s="34">
        <v>178</v>
      </c>
      <c r="BH34" s="34"/>
      <c r="BI34" s="34"/>
      <c r="BJ34" s="34"/>
      <c r="BK34" s="34"/>
      <c r="BL34" s="34"/>
      <c r="BM34" s="34"/>
      <c r="BN34" s="34"/>
      <c r="BO34" s="34"/>
      <c r="BP34" s="34">
        <v>167</v>
      </c>
      <c r="BQ34" s="34">
        <v>178</v>
      </c>
      <c r="BR34" s="34"/>
      <c r="BS34" s="34"/>
      <c r="BT34" s="34"/>
      <c r="BU34" s="34">
        <v>178</v>
      </c>
      <c r="BV34" s="34">
        <v>242</v>
      </c>
      <c r="BW34" s="34"/>
      <c r="BX34" s="34"/>
      <c r="BY34" s="34"/>
      <c r="BZ34" s="34">
        <v>58</v>
      </c>
      <c r="CA34" s="34"/>
      <c r="CB34" s="34"/>
      <c r="CC34" s="34"/>
      <c r="CD34" s="34">
        <v>34</v>
      </c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>
        <v>135</v>
      </c>
      <c r="CT34" s="34">
        <v>171</v>
      </c>
      <c r="CU34" s="34"/>
      <c r="CV34" s="34"/>
      <c r="CW34" s="34">
        <v>167</v>
      </c>
      <c r="CX34" s="34"/>
      <c r="CY34" s="34"/>
      <c r="CZ34" s="34"/>
      <c r="DA34" s="34">
        <v>57</v>
      </c>
      <c r="DB34" s="34">
        <v>55</v>
      </c>
      <c r="DC34" s="34"/>
      <c r="DD34" s="34"/>
      <c r="DE34" s="34"/>
      <c r="DF34" s="34"/>
      <c r="DG34" s="34"/>
      <c r="DH34" s="34"/>
      <c r="DI34" s="34"/>
      <c r="DJ34" s="34"/>
      <c r="DK34" s="34"/>
      <c r="DL34" s="9"/>
    </row>
    <row r="35" spans="1:116" ht="12" customHeight="1" x14ac:dyDescent="0.2">
      <c r="A35" s="15"/>
      <c r="B35" s="1">
        <v>332</v>
      </c>
      <c r="C35" s="16" t="s">
        <v>419</v>
      </c>
      <c r="D35" s="26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>
        <v>2966.48</v>
      </c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9"/>
    </row>
    <row r="36" spans="1:116" ht="12" customHeight="1" x14ac:dyDescent="0.2">
      <c r="A36" s="15"/>
      <c r="B36" s="1">
        <v>365</v>
      </c>
      <c r="C36" s="16" t="s">
        <v>420</v>
      </c>
      <c r="D36" s="26"/>
      <c r="E36" s="34">
        <v>1638.71</v>
      </c>
      <c r="F36" s="34"/>
      <c r="G36" s="34"/>
      <c r="H36" s="34"/>
      <c r="I36" s="34"/>
      <c r="J36" s="34"/>
      <c r="K36" s="34"/>
      <c r="L36" s="34">
        <v>1285.23</v>
      </c>
      <c r="M36" s="34"/>
      <c r="N36" s="34">
        <v>415.57</v>
      </c>
      <c r="O36" s="34">
        <v>1159.5999999999999</v>
      </c>
      <c r="P36" s="34"/>
      <c r="Q36" s="34"/>
      <c r="R36" s="34"/>
      <c r="S36" s="34">
        <v>1705.07</v>
      </c>
      <c r="T36" s="34"/>
      <c r="U36" s="34">
        <v>1074.28</v>
      </c>
      <c r="V36" s="34"/>
      <c r="W36" s="34"/>
      <c r="X36" s="34"/>
      <c r="Y36" s="34"/>
      <c r="Z36" s="34"/>
      <c r="AA36" s="34"/>
      <c r="AB36" s="34"/>
      <c r="AC36" s="34"/>
      <c r="AD36" s="34"/>
      <c r="AE36" s="34">
        <v>314.95</v>
      </c>
      <c r="AF36" s="34"/>
      <c r="AG36" s="34"/>
      <c r="AH36" s="34">
        <v>229.41</v>
      </c>
      <c r="AI36" s="34">
        <v>199.21</v>
      </c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>
        <v>1447.37</v>
      </c>
      <c r="BB36" s="34"/>
      <c r="BC36" s="34"/>
      <c r="BD36" s="34"/>
      <c r="BE36" s="34">
        <v>1289.1099999999999</v>
      </c>
      <c r="BF36" s="34"/>
      <c r="BG36" s="34"/>
      <c r="BH36" s="34"/>
      <c r="BI36" s="34"/>
      <c r="BJ36" s="34">
        <v>533.49</v>
      </c>
      <c r="BK36" s="34"/>
      <c r="BL36" s="34">
        <v>19.329999999999998</v>
      </c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9"/>
    </row>
    <row r="37" spans="1:116" ht="12" customHeight="1" x14ac:dyDescent="0.2">
      <c r="A37" s="15"/>
      <c r="B37" s="1">
        <v>397</v>
      </c>
      <c r="C37" s="16" t="s">
        <v>421</v>
      </c>
      <c r="D37" s="26">
        <v>33.119999999999997</v>
      </c>
      <c r="E37" s="34">
        <v>33.119999999999997</v>
      </c>
      <c r="F37" s="34">
        <v>2.21</v>
      </c>
      <c r="G37" s="34">
        <v>33.119999999999997</v>
      </c>
      <c r="H37" s="34">
        <v>33.119999999999997</v>
      </c>
      <c r="I37" s="34">
        <v>33.119999999999997</v>
      </c>
      <c r="J37" s="34">
        <v>33.119999999999997</v>
      </c>
      <c r="K37" s="34">
        <v>12.14</v>
      </c>
      <c r="L37" s="34">
        <v>33.119999999999997</v>
      </c>
      <c r="M37" s="34">
        <v>26.5</v>
      </c>
      <c r="N37" s="34">
        <v>33.119999999999997</v>
      </c>
      <c r="O37" s="34">
        <v>33.119999999999997</v>
      </c>
      <c r="P37" s="34">
        <v>33.119999999999997</v>
      </c>
      <c r="Q37" s="34">
        <v>33.119999999999997</v>
      </c>
      <c r="R37" s="34">
        <v>33.119999999999997</v>
      </c>
      <c r="S37" s="34">
        <v>33.119999999999997</v>
      </c>
      <c r="T37" s="34">
        <v>33.119999999999997</v>
      </c>
      <c r="U37" s="34">
        <v>33.119999999999997</v>
      </c>
      <c r="V37" s="34">
        <v>33.119999999999997</v>
      </c>
      <c r="W37" s="34">
        <v>33.11</v>
      </c>
      <c r="X37" s="34">
        <v>33.119999999999997</v>
      </c>
      <c r="Y37" s="34">
        <v>33.11</v>
      </c>
      <c r="Z37" s="34">
        <v>33.119999999999997</v>
      </c>
      <c r="AA37" s="34">
        <v>33.119999999999997</v>
      </c>
      <c r="AB37" s="34">
        <v>24.28</v>
      </c>
      <c r="AC37" s="34">
        <v>25.39</v>
      </c>
      <c r="AD37" s="34">
        <v>33.119999999999997</v>
      </c>
      <c r="AE37" s="34">
        <v>33.119999999999997</v>
      </c>
      <c r="AF37" s="34">
        <v>33.119999999999997</v>
      </c>
      <c r="AG37" s="34">
        <v>33.119999999999997</v>
      </c>
      <c r="AH37" s="34">
        <v>33.119999999999997</v>
      </c>
      <c r="AI37" s="34">
        <v>33.11</v>
      </c>
      <c r="AJ37" s="34">
        <v>33.119999999999997</v>
      </c>
      <c r="AK37" s="34">
        <v>1.1000000000000001</v>
      </c>
      <c r="AL37" s="34"/>
      <c r="AM37" s="34">
        <v>33.119999999999997</v>
      </c>
      <c r="AN37" s="34">
        <v>33.11</v>
      </c>
      <c r="AO37" s="34">
        <v>33.119999999999997</v>
      </c>
      <c r="AP37" s="34">
        <v>33.119999999999997</v>
      </c>
      <c r="AQ37" s="34">
        <v>33.119999999999997</v>
      </c>
      <c r="AR37" s="34">
        <v>23.18</v>
      </c>
      <c r="AS37" s="34">
        <v>33.119999999999997</v>
      </c>
      <c r="AT37" s="34">
        <v>33.119999999999997</v>
      </c>
      <c r="AU37" s="34">
        <v>33.11</v>
      </c>
      <c r="AV37" s="34">
        <v>33.119999999999997</v>
      </c>
      <c r="AW37" s="34">
        <v>33.119999999999997</v>
      </c>
      <c r="AX37" s="34">
        <v>27.6</v>
      </c>
      <c r="AY37" s="34">
        <v>33.119999999999997</v>
      </c>
      <c r="AZ37" s="34">
        <v>33.11</v>
      </c>
      <c r="BA37" s="34">
        <v>33.119999999999997</v>
      </c>
      <c r="BB37" s="34"/>
      <c r="BC37" s="34">
        <v>33.11</v>
      </c>
      <c r="BD37" s="34">
        <v>33.119999999999997</v>
      </c>
      <c r="BE37" s="34">
        <v>33.119999999999997</v>
      </c>
      <c r="BF37" s="34"/>
      <c r="BG37" s="34">
        <v>33.11</v>
      </c>
      <c r="BH37" s="34">
        <v>33.119999999999997</v>
      </c>
      <c r="BI37" s="34">
        <v>33.11</v>
      </c>
      <c r="BJ37" s="34">
        <v>33.11</v>
      </c>
      <c r="BK37" s="34">
        <v>33.119999999999997</v>
      </c>
      <c r="BL37" s="34">
        <v>33.119999999999997</v>
      </c>
      <c r="BM37" s="34">
        <v>33.119999999999997</v>
      </c>
      <c r="BN37" s="34">
        <v>33.11</v>
      </c>
      <c r="BO37" s="34">
        <v>33.11</v>
      </c>
      <c r="BP37" s="34">
        <v>27.59</v>
      </c>
      <c r="BQ37" s="34">
        <v>33.11</v>
      </c>
      <c r="BR37" s="34">
        <v>33.119999999999997</v>
      </c>
      <c r="BS37" s="34">
        <v>33.119999999999997</v>
      </c>
      <c r="BT37" s="34">
        <v>33.119999999999997</v>
      </c>
      <c r="BU37" s="34">
        <v>33.11</v>
      </c>
      <c r="BV37" s="34">
        <v>22.07</v>
      </c>
      <c r="BW37" s="34">
        <v>33.119999999999997</v>
      </c>
      <c r="BX37" s="34">
        <v>33.119999999999997</v>
      </c>
      <c r="BY37" s="34">
        <v>33.119999999999997</v>
      </c>
      <c r="BZ37" s="34">
        <v>33.119999999999997</v>
      </c>
      <c r="CA37" s="34">
        <v>33.119999999999997</v>
      </c>
      <c r="CB37" s="34">
        <v>33.119999999999997</v>
      </c>
      <c r="CC37" s="34">
        <v>33.119999999999997</v>
      </c>
      <c r="CD37" s="34">
        <v>33.119999999999997</v>
      </c>
      <c r="CE37" s="34">
        <v>33.11</v>
      </c>
      <c r="CF37" s="34">
        <v>33.11</v>
      </c>
      <c r="CG37" s="34">
        <v>33.11</v>
      </c>
      <c r="CH37" s="34">
        <v>33.119999999999997</v>
      </c>
      <c r="CI37" s="34">
        <v>33.11</v>
      </c>
      <c r="CJ37" s="34">
        <v>33.11</v>
      </c>
      <c r="CK37" s="34">
        <v>33.11</v>
      </c>
      <c r="CL37" s="34">
        <v>33.11</v>
      </c>
      <c r="CM37" s="34">
        <v>33.11</v>
      </c>
      <c r="CN37" s="34">
        <v>33.11</v>
      </c>
      <c r="CO37" s="34">
        <v>1.1000000000000001</v>
      </c>
      <c r="CP37" s="34">
        <v>33.11</v>
      </c>
      <c r="CQ37" s="34"/>
      <c r="CR37" s="34">
        <v>33.11</v>
      </c>
      <c r="CS37" s="34">
        <v>33.11</v>
      </c>
      <c r="CT37" s="34">
        <v>29.8</v>
      </c>
      <c r="CU37" s="34">
        <v>33.11</v>
      </c>
      <c r="CV37" s="34">
        <v>33.11</v>
      </c>
      <c r="CW37" s="34">
        <v>33.11</v>
      </c>
      <c r="CX37" s="34"/>
      <c r="CY37" s="34">
        <v>33.11</v>
      </c>
      <c r="CZ37" s="34">
        <v>33.11</v>
      </c>
      <c r="DA37" s="34">
        <v>33.119999999999997</v>
      </c>
      <c r="DB37" s="34">
        <v>33.119999999999997</v>
      </c>
      <c r="DC37" s="34">
        <v>33.11</v>
      </c>
      <c r="DD37" s="34">
        <v>33.119999999999997</v>
      </c>
      <c r="DE37" s="34">
        <v>24.29</v>
      </c>
      <c r="DF37" s="34">
        <v>20.97</v>
      </c>
      <c r="DG37" s="34">
        <v>24.29</v>
      </c>
      <c r="DH37" s="34">
        <v>22.07</v>
      </c>
      <c r="DI37" s="34">
        <v>20.97</v>
      </c>
      <c r="DJ37" s="34">
        <v>20.97</v>
      </c>
      <c r="DK37" s="34">
        <v>13.25</v>
      </c>
      <c r="DL37" s="9">
        <v>3.31</v>
      </c>
    </row>
    <row r="38" spans="1:116" ht="12" customHeight="1" x14ac:dyDescent="0.2">
      <c r="A38" s="15"/>
      <c r="B38" s="1">
        <v>450</v>
      </c>
      <c r="C38" s="16" t="s">
        <v>422</v>
      </c>
      <c r="D38" s="26"/>
      <c r="E38" s="34"/>
      <c r="F38" s="34">
        <v>489.6</v>
      </c>
      <c r="G38" s="34"/>
      <c r="H38" s="34"/>
      <c r="I38" s="34"/>
      <c r="J38" s="34"/>
      <c r="K38" s="34">
        <v>508.08</v>
      </c>
      <c r="L38" s="34"/>
      <c r="M38" s="34">
        <v>35.15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>
        <v>91.56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>
        <v>375</v>
      </c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9"/>
    </row>
    <row r="39" spans="1:116" ht="12" customHeight="1" x14ac:dyDescent="0.2">
      <c r="A39" s="15"/>
      <c r="B39" s="1">
        <v>451</v>
      </c>
      <c r="C39" s="16" t="s">
        <v>423</v>
      </c>
      <c r="D39" s="26"/>
      <c r="E39" s="34"/>
      <c r="F39" s="34">
        <v>510</v>
      </c>
      <c r="G39" s="34"/>
      <c r="H39" s="34"/>
      <c r="I39" s="34"/>
      <c r="J39" s="34"/>
      <c r="K39" s="34">
        <v>84.68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>
        <v>429.67</v>
      </c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9"/>
    </row>
    <row r="40" spans="1:116" ht="12" customHeight="1" x14ac:dyDescent="0.2">
      <c r="A40" s="15"/>
      <c r="B40" s="1">
        <v>452</v>
      </c>
      <c r="C40" s="16" t="s">
        <v>424</v>
      </c>
      <c r="D40" s="26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>
        <v>1488.25</v>
      </c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>
        <v>135.54</v>
      </c>
      <c r="AY40" s="34"/>
      <c r="AZ40" s="34"/>
      <c r="BA40" s="34"/>
      <c r="BB40" s="34">
        <v>1756.16</v>
      </c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>
        <v>140.91</v>
      </c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9"/>
    </row>
    <row r="41" spans="1:116" ht="12" customHeight="1" x14ac:dyDescent="0.2">
      <c r="A41" s="15"/>
      <c r="B41" s="1">
        <v>455</v>
      </c>
      <c r="C41" s="16" t="s">
        <v>425</v>
      </c>
      <c r="D41" s="26"/>
      <c r="E41" s="34"/>
      <c r="F41" s="34">
        <v>866.37</v>
      </c>
      <c r="G41" s="34"/>
      <c r="H41" s="34"/>
      <c r="I41" s="34"/>
      <c r="J41" s="34"/>
      <c r="K41" s="34">
        <v>476.05</v>
      </c>
      <c r="L41" s="34"/>
      <c r="M41" s="34">
        <v>52.68</v>
      </c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>
        <v>103.18</v>
      </c>
      <c r="AD41" s="34"/>
      <c r="AE41" s="34"/>
      <c r="AF41" s="34"/>
      <c r="AG41" s="34"/>
      <c r="AH41" s="34"/>
      <c r="AI41" s="34"/>
      <c r="AJ41" s="34"/>
      <c r="AK41" s="34">
        <v>376.02</v>
      </c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>
        <v>164.47</v>
      </c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>
        <v>117.43</v>
      </c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>
        <v>537.95000000000005</v>
      </c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9"/>
    </row>
    <row r="42" spans="1:116" ht="12" customHeight="1" x14ac:dyDescent="0.2">
      <c r="A42" s="15"/>
      <c r="B42" s="1">
        <v>614</v>
      </c>
      <c r="C42" s="16" t="s">
        <v>426</v>
      </c>
      <c r="D42" s="26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>
        <v>51.87</v>
      </c>
      <c r="BU42" s="34"/>
      <c r="BV42" s="34"/>
      <c r="BW42" s="34"/>
      <c r="BX42" s="34"/>
      <c r="BY42" s="34"/>
      <c r="BZ42" s="34"/>
      <c r="CA42" s="34"/>
      <c r="CB42" s="34">
        <v>132.54</v>
      </c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9"/>
    </row>
    <row r="43" spans="1:116" ht="12" customHeight="1" x14ac:dyDescent="0.2">
      <c r="A43" s="15"/>
      <c r="B43" s="1">
        <v>634</v>
      </c>
      <c r="C43" s="16" t="s">
        <v>402</v>
      </c>
      <c r="D43" s="26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>
        <v>25</v>
      </c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9"/>
    </row>
    <row r="44" spans="1:116" ht="12" customHeight="1" x14ac:dyDescent="0.2">
      <c r="A44" s="15"/>
      <c r="B44" s="1">
        <v>988</v>
      </c>
      <c r="C44" s="16" t="s">
        <v>427</v>
      </c>
      <c r="D44" s="26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>
        <v>125.94</v>
      </c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9"/>
    </row>
    <row r="45" spans="1:116" ht="12" customHeight="1" x14ac:dyDescent="0.2">
      <c r="A45" s="15"/>
      <c r="B45" s="1"/>
      <c r="C45" s="16"/>
      <c r="D45" s="25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8"/>
    </row>
    <row r="46" spans="1:116" ht="12" customHeight="1" x14ac:dyDescent="0.2">
      <c r="A46" s="15" t="s">
        <v>428</v>
      </c>
      <c r="B46" s="1"/>
      <c r="C46" s="16"/>
      <c r="D46" s="26">
        <f t="shared" ref="D46:AI46" si="0">SUM(D11:D45)</f>
        <v>2100</v>
      </c>
      <c r="E46" s="34">
        <f t="shared" si="0"/>
        <v>3303.2</v>
      </c>
      <c r="F46" s="34">
        <f t="shared" si="0"/>
        <v>2000.0100000000002</v>
      </c>
      <c r="G46" s="34">
        <f t="shared" si="0"/>
        <v>2076.29</v>
      </c>
      <c r="H46" s="34">
        <f t="shared" si="0"/>
        <v>2128.7800000000002</v>
      </c>
      <c r="I46" s="34">
        <f t="shared" si="0"/>
        <v>1312.5</v>
      </c>
      <c r="J46" s="34">
        <f t="shared" si="0"/>
        <v>2965.96</v>
      </c>
      <c r="K46" s="34">
        <f t="shared" si="0"/>
        <v>1902.71</v>
      </c>
      <c r="L46" s="34">
        <f t="shared" si="0"/>
        <v>2949.7200000000003</v>
      </c>
      <c r="M46" s="34">
        <f t="shared" si="0"/>
        <v>1493.62</v>
      </c>
      <c r="N46" s="34">
        <f t="shared" si="0"/>
        <v>2080.06</v>
      </c>
      <c r="O46" s="34">
        <f t="shared" si="0"/>
        <v>3659.6</v>
      </c>
      <c r="P46" s="34">
        <f t="shared" si="0"/>
        <v>3500</v>
      </c>
      <c r="Q46" s="34">
        <f t="shared" si="0"/>
        <v>1885.07</v>
      </c>
      <c r="R46" s="34">
        <f t="shared" si="0"/>
        <v>5598.73</v>
      </c>
      <c r="S46" s="34">
        <f t="shared" si="0"/>
        <v>3369.56</v>
      </c>
      <c r="T46" s="34">
        <f t="shared" si="0"/>
        <v>712.5</v>
      </c>
      <c r="U46" s="34">
        <f t="shared" si="0"/>
        <v>2738.77</v>
      </c>
      <c r="V46" s="34">
        <f t="shared" si="0"/>
        <v>2368.3300000000004</v>
      </c>
      <c r="W46" s="34">
        <f t="shared" si="0"/>
        <v>1873.3499999999995</v>
      </c>
      <c r="X46" s="34">
        <f t="shared" si="0"/>
        <v>2015.29</v>
      </c>
      <c r="Y46" s="34">
        <f t="shared" si="0"/>
        <v>2283.3399999999997</v>
      </c>
      <c r="Z46" s="34">
        <f t="shared" si="0"/>
        <v>1800.0000000000002</v>
      </c>
      <c r="AA46" s="34">
        <f t="shared" si="0"/>
        <v>3140</v>
      </c>
      <c r="AB46" s="34">
        <f t="shared" si="0"/>
        <v>1769.14</v>
      </c>
      <c r="AC46" s="34">
        <f t="shared" si="0"/>
        <v>1976.71</v>
      </c>
      <c r="AD46" s="34">
        <f t="shared" si="0"/>
        <v>1758.17</v>
      </c>
      <c r="AE46" s="34">
        <f t="shared" si="0"/>
        <v>2542.77</v>
      </c>
      <c r="AF46" s="34">
        <f t="shared" si="0"/>
        <v>3268.9</v>
      </c>
      <c r="AG46" s="34">
        <f t="shared" si="0"/>
        <v>5921.03</v>
      </c>
      <c r="AH46" s="34">
        <f t="shared" si="0"/>
        <v>2062.7400000000002</v>
      </c>
      <c r="AI46" s="34">
        <f t="shared" si="0"/>
        <v>1826.0299999999993</v>
      </c>
      <c r="AJ46" s="34">
        <f t="shared" ref="AJ46:BO46" si="1">SUM(AJ11:AJ45)</f>
        <v>2691.71</v>
      </c>
      <c r="AK46" s="34">
        <f t="shared" si="1"/>
        <v>3505.02</v>
      </c>
      <c r="AL46" s="34">
        <f t="shared" si="1"/>
        <v>0</v>
      </c>
      <c r="AM46" s="34">
        <f t="shared" si="1"/>
        <v>5583.34</v>
      </c>
      <c r="AN46" s="34">
        <f t="shared" si="1"/>
        <v>2163.66</v>
      </c>
      <c r="AO46" s="34">
        <f t="shared" si="1"/>
        <v>3463.32</v>
      </c>
      <c r="AP46" s="34">
        <f t="shared" si="1"/>
        <v>2650</v>
      </c>
      <c r="AQ46" s="34">
        <f t="shared" si="1"/>
        <v>3549.9999999999991</v>
      </c>
      <c r="AR46" s="34">
        <f t="shared" si="1"/>
        <v>1224.98</v>
      </c>
      <c r="AS46" s="34">
        <f t="shared" si="1"/>
        <v>2916.6599999999994</v>
      </c>
      <c r="AT46" s="34">
        <f t="shared" si="1"/>
        <v>2200.0000000000005</v>
      </c>
      <c r="AU46" s="34">
        <f t="shared" si="1"/>
        <v>2099.6999999999998</v>
      </c>
      <c r="AV46" s="34">
        <f t="shared" si="1"/>
        <v>5000.0000000000009</v>
      </c>
      <c r="AW46" s="34">
        <f t="shared" si="1"/>
        <v>2300</v>
      </c>
      <c r="AX46" s="34">
        <f t="shared" si="1"/>
        <v>1800.81</v>
      </c>
      <c r="AY46" s="34">
        <f t="shared" si="1"/>
        <v>2124.29</v>
      </c>
      <c r="AZ46" s="34">
        <f t="shared" si="1"/>
        <v>2271.6</v>
      </c>
      <c r="BA46" s="34">
        <f t="shared" si="1"/>
        <v>3111.8599999999997</v>
      </c>
      <c r="BB46" s="34">
        <f t="shared" si="1"/>
        <v>1756.16</v>
      </c>
      <c r="BC46" s="34">
        <f t="shared" si="1"/>
        <v>1759.9499999999994</v>
      </c>
      <c r="BD46" s="34">
        <f t="shared" si="1"/>
        <v>1171.9099999999999</v>
      </c>
      <c r="BE46" s="34">
        <f t="shared" si="1"/>
        <v>3789.1099999999997</v>
      </c>
      <c r="BF46" s="34">
        <f t="shared" si="1"/>
        <v>0</v>
      </c>
      <c r="BG46" s="34">
        <f t="shared" si="1"/>
        <v>2245.7799999999993</v>
      </c>
      <c r="BH46" s="34">
        <f t="shared" si="1"/>
        <v>2466.67</v>
      </c>
      <c r="BI46" s="34">
        <f t="shared" si="1"/>
        <v>1455.9399999999994</v>
      </c>
      <c r="BJ46" s="34">
        <f t="shared" si="1"/>
        <v>2741.82</v>
      </c>
      <c r="BK46" s="34">
        <f t="shared" si="1"/>
        <v>2666.66</v>
      </c>
      <c r="BL46" s="34">
        <f t="shared" si="1"/>
        <v>2936.1</v>
      </c>
      <c r="BM46" s="34">
        <f t="shared" si="1"/>
        <v>3333.33</v>
      </c>
      <c r="BN46" s="34">
        <f t="shared" si="1"/>
        <v>1482.3799999999994</v>
      </c>
      <c r="BO46" s="34">
        <f t="shared" si="1"/>
        <v>1455.9399999999994</v>
      </c>
      <c r="BP46" s="34">
        <f t="shared" ref="BP46:CU46" si="2">SUM(BP11:BP45)</f>
        <v>2135.6099999999997</v>
      </c>
      <c r="BQ46" s="34">
        <f t="shared" si="2"/>
        <v>1749.3399999999995</v>
      </c>
      <c r="BR46" s="34">
        <f t="shared" si="2"/>
        <v>2333.3300000000004</v>
      </c>
      <c r="BS46" s="34">
        <f t="shared" si="2"/>
        <v>2636.67</v>
      </c>
      <c r="BT46" s="34">
        <f t="shared" si="2"/>
        <v>5468.54</v>
      </c>
      <c r="BU46" s="34">
        <f t="shared" si="2"/>
        <v>1738.2399999999993</v>
      </c>
      <c r="BV46" s="34">
        <f t="shared" si="2"/>
        <v>1212.5999999999999</v>
      </c>
      <c r="BW46" s="34">
        <f t="shared" si="2"/>
        <v>2071.9500000000003</v>
      </c>
      <c r="BX46" s="34">
        <f t="shared" si="2"/>
        <v>2098.58</v>
      </c>
      <c r="BY46" s="34">
        <f t="shared" si="2"/>
        <v>1700.8400000000001</v>
      </c>
      <c r="BZ46" s="34">
        <f t="shared" si="2"/>
        <v>1828.39</v>
      </c>
      <c r="CA46" s="34">
        <f t="shared" si="2"/>
        <v>2500</v>
      </c>
      <c r="CB46" s="34">
        <f t="shared" si="2"/>
        <v>4465.8799999999992</v>
      </c>
      <c r="CC46" s="34">
        <f t="shared" si="2"/>
        <v>3419.99</v>
      </c>
      <c r="CD46" s="34">
        <f t="shared" si="2"/>
        <v>1744.3000000000002</v>
      </c>
      <c r="CE46" s="34">
        <f t="shared" si="2"/>
        <v>1700.8399999999992</v>
      </c>
      <c r="CF46" s="34">
        <f t="shared" si="2"/>
        <v>2249.9999999999995</v>
      </c>
      <c r="CG46" s="34">
        <f t="shared" si="2"/>
        <v>1800.1799999999994</v>
      </c>
      <c r="CH46" s="34">
        <f t="shared" si="2"/>
        <v>3750</v>
      </c>
      <c r="CI46" s="34">
        <f t="shared" si="2"/>
        <v>2166.66</v>
      </c>
      <c r="CJ46" s="34">
        <f t="shared" si="2"/>
        <v>2379.69</v>
      </c>
      <c r="CK46" s="34">
        <f t="shared" si="2"/>
        <v>1566.9899999999993</v>
      </c>
      <c r="CL46" s="34">
        <f t="shared" si="2"/>
        <v>1765.3399999999992</v>
      </c>
      <c r="CM46" s="34">
        <f t="shared" si="2"/>
        <v>1562.5199999999993</v>
      </c>
      <c r="CN46" s="34">
        <f t="shared" si="2"/>
        <v>2234.77</v>
      </c>
      <c r="CO46" s="34">
        <f t="shared" si="2"/>
        <v>1394.7</v>
      </c>
      <c r="CP46" s="34">
        <f t="shared" si="2"/>
        <v>1562.5199999999993</v>
      </c>
      <c r="CQ46" s="34">
        <f t="shared" si="2"/>
        <v>649.42999999999995</v>
      </c>
      <c r="CR46" s="34">
        <f t="shared" si="2"/>
        <v>1456.0099999999993</v>
      </c>
      <c r="CS46" s="34">
        <f t="shared" si="2"/>
        <v>1595.4899999999993</v>
      </c>
      <c r="CT46" s="34">
        <f t="shared" si="2"/>
        <v>1903.8899999999996</v>
      </c>
      <c r="CU46" s="34">
        <f t="shared" si="2"/>
        <v>1787.3799999999994</v>
      </c>
      <c r="CV46" s="34">
        <f t="shared" ref="CV46:DL46" si="3">SUM(CV11:CV45)</f>
        <v>1458.3499999999995</v>
      </c>
      <c r="CW46" s="34">
        <f t="shared" si="3"/>
        <v>1981.6199999999994</v>
      </c>
      <c r="CX46" s="34">
        <f t="shared" si="3"/>
        <v>514.4</v>
      </c>
      <c r="CY46" s="34">
        <f t="shared" si="3"/>
        <v>1572.5499999999995</v>
      </c>
      <c r="CZ46" s="34">
        <f t="shared" si="3"/>
        <v>1108.92</v>
      </c>
      <c r="DA46" s="34">
        <f t="shared" si="3"/>
        <v>1791.7900000000002</v>
      </c>
      <c r="DB46" s="34">
        <f t="shared" si="3"/>
        <v>1656.3900000000003</v>
      </c>
      <c r="DC46" s="34">
        <f t="shared" si="3"/>
        <v>1833.3299999999995</v>
      </c>
      <c r="DD46" s="34">
        <f t="shared" si="3"/>
        <v>5416.6599999999989</v>
      </c>
      <c r="DE46" s="34">
        <f t="shared" si="3"/>
        <v>1246.8200000000002</v>
      </c>
      <c r="DF46" s="34">
        <f t="shared" si="3"/>
        <v>1013.6100000000001</v>
      </c>
      <c r="DG46" s="34">
        <f t="shared" si="3"/>
        <v>1246.8700000000001</v>
      </c>
      <c r="DH46" s="34">
        <f t="shared" si="3"/>
        <v>1041.9099999999999</v>
      </c>
      <c r="DI46" s="34">
        <f t="shared" si="3"/>
        <v>922.37000000000012</v>
      </c>
      <c r="DJ46" s="34">
        <f t="shared" si="3"/>
        <v>922.37000000000012</v>
      </c>
      <c r="DK46" s="34">
        <f t="shared" si="3"/>
        <v>720.45999999999992</v>
      </c>
      <c r="DL46" s="9">
        <f t="shared" si="3"/>
        <v>267.38</v>
      </c>
    </row>
    <row r="47" spans="1:116" ht="12" customHeight="1" x14ac:dyDescent="0.2">
      <c r="A47" s="15"/>
      <c r="B47" s="1"/>
      <c r="C47" s="16"/>
      <c r="D47" s="25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8"/>
    </row>
    <row r="48" spans="1:116" ht="12" customHeight="1" x14ac:dyDescent="0.2">
      <c r="A48" s="15"/>
      <c r="B48" s="1">
        <v>703</v>
      </c>
      <c r="C48" s="16" t="s">
        <v>429</v>
      </c>
      <c r="D48" s="26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>
        <v>405.42</v>
      </c>
      <c r="AP48" s="34"/>
      <c r="AQ48" s="34"/>
      <c r="AR48" s="34"/>
      <c r="AS48" s="34"/>
      <c r="AT48" s="34"/>
      <c r="AU48" s="34"/>
      <c r="AV48" s="34"/>
      <c r="AW48" s="34"/>
      <c r="AX48" s="34"/>
      <c r="AY48" s="34">
        <v>85.61</v>
      </c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>
        <v>74.84</v>
      </c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9"/>
    </row>
    <row r="49" spans="1:116" ht="12" customHeight="1" x14ac:dyDescent="0.2">
      <c r="A49" s="15"/>
      <c r="B49" s="1">
        <v>704</v>
      </c>
      <c r="C49" s="16" t="s">
        <v>430</v>
      </c>
      <c r="D49" s="26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>
        <v>200</v>
      </c>
      <c r="T49" s="34">
        <v>222.45</v>
      </c>
      <c r="U49" s="34"/>
      <c r="V49" s="34"/>
      <c r="W49" s="34"/>
      <c r="X49" s="34"/>
      <c r="Y49" s="34"/>
      <c r="Z49" s="34">
        <v>340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9"/>
    </row>
    <row r="50" spans="1:116" ht="12" customHeight="1" x14ac:dyDescent="0.2">
      <c r="A50" s="15"/>
      <c r="B50" s="1">
        <v>724</v>
      </c>
      <c r="C50" s="16" t="s">
        <v>431</v>
      </c>
      <c r="D50" s="26"/>
      <c r="E50" s="34"/>
      <c r="F50" s="34">
        <v>75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>
        <v>125</v>
      </c>
      <c r="X50" s="34">
        <v>200</v>
      </c>
      <c r="Y50" s="34">
        <v>200</v>
      </c>
      <c r="Z50" s="34"/>
      <c r="AA50" s="34"/>
      <c r="AB50" s="34">
        <v>625</v>
      </c>
      <c r="AC50" s="34"/>
      <c r="AD50" s="34">
        <v>100</v>
      </c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>
        <v>50</v>
      </c>
      <c r="BK50" s="34"/>
      <c r="BL50" s="34"/>
      <c r="BM50" s="34"/>
      <c r="BN50" s="34"/>
      <c r="BO50" s="34"/>
      <c r="BP50" s="34">
        <v>200</v>
      </c>
      <c r="BQ50" s="34">
        <v>200</v>
      </c>
      <c r="BR50" s="34"/>
      <c r="BS50" s="34"/>
      <c r="BT50" s="34"/>
      <c r="BU50" s="34">
        <v>300</v>
      </c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9"/>
    </row>
    <row r="51" spans="1:116" ht="12" customHeight="1" x14ac:dyDescent="0.2">
      <c r="A51" s="15"/>
      <c r="B51" s="1">
        <v>725</v>
      </c>
      <c r="C51" s="16" t="s">
        <v>432</v>
      </c>
      <c r="D51" s="26"/>
      <c r="E51" s="34"/>
      <c r="F51" s="34"/>
      <c r="G51" s="34">
        <v>200</v>
      </c>
      <c r="H51" s="34"/>
      <c r="I51" s="34"/>
      <c r="J51" s="34"/>
      <c r="K51" s="34"/>
      <c r="L51" s="34"/>
      <c r="M51" s="34"/>
      <c r="N51" s="34"/>
      <c r="O51" s="34">
        <v>79.900000000000006</v>
      </c>
      <c r="P51" s="34"/>
      <c r="Q51" s="34"/>
      <c r="R51" s="34"/>
      <c r="S51" s="34">
        <v>68.81</v>
      </c>
      <c r="T51" s="34">
        <v>4.13</v>
      </c>
      <c r="U51" s="34"/>
      <c r="V51" s="34">
        <v>90.19</v>
      </c>
      <c r="W51" s="34"/>
      <c r="X51" s="34"/>
      <c r="Y51" s="34"/>
      <c r="Z51" s="34"/>
      <c r="AA51" s="34"/>
      <c r="AB51" s="34">
        <v>58.62</v>
      </c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>
        <v>98.29</v>
      </c>
      <c r="AP51" s="34"/>
      <c r="AQ51" s="34"/>
      <c r="AR51" s="34"/>
      <c r="AS51" s="34"/>
      <c r="AT51" s="34"/>
      <c r="AU51" s="34">
        <v>24.26</v>
      </c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>
        <v>38.1</v>
      </c>
      <c r="BI51" s="34"/>
      <c r="BJ51" s="34">
        <v>83.68</v>
      </c>
      <c r="BK51" s="34"/>
      <c r="BL51" s="34"/>
      <c r="BM51" s="34">
        <v>4.4000000000000004</v>
      </c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>
        <v>26.55</v>
      </c>
      <c r="CC51" s="34"/>
      <c r="CD51" s="34"/>
      <c r="CE51" s="34"/>
      <c r="CF51" s="34"/>
      <c r="CG51" s="34">
        <v>36.56</v>
      </c>
      <c r="CH51" s="34">
        <v>98.91</v>
      </c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>
        <v>137.03</v>
      </c>
      <c r="CV51" s="34"/>
      <c r="CW51" s="34"/>
      <c r="CX51" s="34"/>
      <c r="CY51" s="34"/>
      <c r="CZ51" s="34">
        <v>19.18</v>
      </c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9"/>
    </row>
    <row r="52" spans="1:116" ht="12" customHeight="1" x14ac:dyDescent="0.2">
      <c r="A52" s="15"/>
      <c r="B52" s="1">
        <v>730</v>
      </c>
      <c r="C52" s="16" t="s">
        <v>433</v>
      </c>
      <c r="D52" s="26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>
        <v>220.59</v>
      </c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>
        <v>-213.26</v>
      </c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9"/>
    </row>
    <row r="53" spans="1:116" ht="12" customHeight="1" x14ac:dyDescent="0.2">
      <c r="A53" s="15"/>
      <c r="B53" s="1">
        <v>789</v>
      </c>
      <c r="C53" s="16" t="s">
        <v>434</v>
      </c>
      <c r="D53" s="26">
        <v>0.77</v>
      </c>
      <c r="E53" s="34">
        <v>0.77</v>
      </c>
      <c r="F53" s="34">
        <v>0.77</v>
      </c>
      <c r="G53" s="34">
        <v>0.77</v>
      </c>
      <c r="H53" s="34">
        <v>0.77</v>
      </c>
      <c r="I53" s="34">
        <v>0.77</v>
      </c>
      <c r="J53" s="34">
        <v>0.77</v>
      </c>
      <c r="K53" s="34">
        <v>0.77</v>
      </c>
      <c r="L53" s="34">
        <v>0.77</v>
      </c>
      <c r="M53" s="34">
        <v>0.62</v>
      </c>
      <c r="N53" s="34">
        <v>0.77</v>
      </c>
      <c r="O53" s="34">
        <v>0.77</v>
      </c>
      <c r="P53" s="34">
        <v>0.77</v>
      </c>
      <c r="Q53" s="34">
        <v>0.77</v>
      </c>
      <c r="R53" s="34">
        <v>0.77</v>
      </c>
      <c r="S53" s="34">
        <v>0.77</v>
      </c>
      <c r="T53" s="34">
        <v>0.77</v>
      </c>
      <c r="U53" s="34">
        <v>0.77</v>
      </c>
      <c r="V53" s="34">
        <v>0.77</v>
      </c>
      <c r="W53" s="34">
        <v>0.77</v>
      </c>
      <c r="X53" s="34">
        <v>0.77</v>
      </c>
      <c r="Y53" s="34">
        <v>0.77</v>
      </c>
      <c r="Z53" s="34">
        <v>0.77</v>
      </c>
      <c r="AA53" s="34">
        <v>0.77</v>
      </c>
      <c r="AB53" s="34">
        <v>0.56000000000000005</v>
      </c>
      <c r="AC53" s="34">
        <v>0.59</v>
      </c>
      <c r="AD53" s="34">
        <v>0.77</v>
      </c>
      <c r="AE53" s="34">
        <v>0.77</v>
      </c>
      <c r="AF53" s="34"/>
      <c r="AG53" s="34">
        <v>579.58000000000004</v>
      </c>
      <c r="AH53" s="34">
        <v>0.77</v>
      </c>
      <c r="AI53" s="34">
        <v>0.77</v>
      </c>
      <c r="AJ53" s="34">
        <v>0.77</v>
      </c>
      <c r="AK53" s="34">
        <v>0.13</v>
      </c>
      <c r="AL53" s="34"/>
      <c r="AM53" s="34">
        <v>0.77</v>
      </c>
      <c r="AN53" s="34">
        <v>0.77</v>
      </c>
      <c r="AO53" s="34">
        <v>0.77</v>
      </c>
      <c r="AP53" s="34">
        <v>0.77</v>
      </c>
      <c r="AQ53" s="34">
        <v>0.77</v>
      </c>
      <c r="AR53" s="34">
        <v>0.54</v>
      </c>
      <c r="AS53" s="34">
        <v>0.77</v>
      </c>
      <c r="AT53" s="34">
        <v>0.77</v>
      </c>
      <c r="AU53" s="34">
        <v>0.77</v>
      </c>
      <c r="AV53" s="34">
        <v>0.77</v>
      </c>
      <c r="AW53" s="34">
        <v>0.77</v>
      </c>
      <c r="AX53" s="34">
        <v>0.64</v>
      </c>
      <c r="AY53" s="34">
        <v>0.77</v>
      </c>
      <c r="AZ53" s="34">
        <v>0.77</v>
      </c>
      <c r="BA53" s="34">
        <v>0.77</v>
      </c>
      <c r="BB53" s="34"/>
      <c r="BC53" s="34">
        <v>0.77</v>
      </c>
      <c r="BD53" s="34">
        <v>0.77</v>
      </c>
      <c r="BE53" s="34">
        <v>0.77</v>
      </c>
      <c r="BF53" s="34"/>
      <c r="BG53" s="34">
        <v>0.77</v>
      </c>
      <c r="BH53" s="34">
        <v>0.77</v>
      </c>
      <c r="BI53" s="34">
        <v>0.77</v>
      </c>
      <c r="BJ53" s="34">
        <v>0.77</v>
      </c>
      <c r="BK53" s="34">
        <v>0.77</v>
      </c>
      <c r="BL53" s="34">
        <v>0.77</v>
      </c>
      <c r="BM53" s="34">
        <v>0.77</v>
      </c>
      <c r="BN53" s="34">
        <v>0.77</v>
      </c>
      <c r="BO53" s="34">
        <v>0.77</v>
      </c>
      <c r="BP53" s="34">
        <v>0.64</v>
      </c>
      <c r="BQ53" s="34">
        <v>0.77</v>
      </c>
      <c r="BR53" s="34">
        <v>0.77</v>
      </c>
      <c r="BS53" s="34">
        <v>0.77</v>
      </c>
      <c r="BT53" s="34">
        <v>0.77</v>
      </c>
      <c r="BU53" s="34">
        <v>0.77</v>
      </c>
      <c r="BV53" s="34">
        <v>0.51</v>
      </c>
      <c r="BW53" s="34">
        <v>0.77</v>
      </c>
      <c r="BX53" s="34">
        <v>0.77</v>
      </c>
      <c r="BY53" s="34">
        <v>0.77</v>
      </c>
      <c r="BZ53" s="34">
        <v>0.77</v>
      </c>
      <c r="CA53" s="34">
        <v>74.459999999999994</v>
      </c>
      <c r="CB53" s="34">
        <v>0.77</v>
      </c>
      <c r="CC53" s="34">
        <v>0.77</v>
      </c>
      <c r="CD53" s="34">
        <v>0.77</v>
      </c>
      <c r="CE53" s="34">
        <v>0.77</v>
      </c>
      <c r="CF53" s="34">
        <v>0.77</v>
      </c>
      <c r="CG53" s="34">
        <v>0.77</v>
      </c>
      <c r="CH53" s="34">
        <v>0.77</v>
      </c>
      <c r="CI53" s="34">
        <v>0.77</v>
      </c>
      <c r="CJ53" s="34">
        <v>0.77</v>
      </c>
      <c r="CK53" s="34">
        <v>0.77</v>
      </c>
      <c r="CL53" s="34">
        <v>0.77</v>
      </c>
      <c r="CM53" s="34">
        <v>0.77</v>
      </c>
      <c r="CN53" s="34">
        <v>0.77</v>
      </c>
      <c r="CO53" s="34">
        <v>0.03</v>
      </c>
      <c r="CP53" s="34">
        <v>0.77</v>
      </c>
      <c r="CQ53" s="34"/>
      <c r="CR53" s="34">
        <v>0.77</v>
      </c>
      <c r="CS53" s="34">
        <v>0.77</v>
      </c>
      <c r="CT53" s="34">
        <v>0.69</v>
      </c>
      <c r="CU53" s="34">
        <v>0.77</v>
      </c>
      <c r="CV53" s="34">
        <v>0.77</v>
      </c>
      <c r="CW53" s="34">
        <v>0.77</v>
      </c>
      <c r="CX53" s="34"/>
      <c r="CY53" s="34">
        <v>0.77</v>
      </c>
      <c r="CZ53" s="34">
        <v>0.77</v>
      </c>
      <c r="DA53" s="34">
        <v>0.77</v>
      </c>
      <c r="DB53" s="34">
        <v>0.77</v>
      </c>
      <c r="DC53" s="34">
        <v>0.77</v>
      </c>
      <c r="DD53" s="34">
        <v>0.77</v>
      </c>
      <c r="DE53" s="34">
        <v>0.72</v>
      </c>
      <c r="DF53" s="34">
        <v>0.77</v>
      </c>
      <c r="DG53" s="34">
        <v>0.77</v>
      </c>
      <c r="DH53" s="34">
        <v>0.77</v>
      </c>
      <c r="DI53" s="34">
        <v>0.77</v>
      </c>
      <c r="DJ53" s="34">
        <v>0.77</v>
      </c>
      <c r="DK53" s="34">
        <v>0.77</v>
      </c>
      <c r="DL53" s="9">
        <v>0.77</v>
      </c>
    </row>
    <row r="54" spans="1:116" ht="12" customHeight="1" x14ac:dyDescent="0.2">
      <c r="A54" s="15"/>
      <c r="B54" s="1">
        <v>989</v>
      </c>
      <c r="C54" s="16" t="s">
        <v>435</v>
      </c>
      <c r="D54" s="26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>
        <v>125.94</v>
      </c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9"/>
    </row>
    <row r="55" spans="1:116" ht="12" customHeight="1" x14ac:dyDescent="0.2">
      <c r="A55" s="15"/>
      <c r="B55" s="1">
        <v>995</v>
      </c>
      <c r="C55" s="16" t="s">
        <v>436</v>
      </c>
      <c r="D55" s="26">
        <v>101.85</v>
      </c>
      <c r="E55" s="34">
        <v>160.19999999999999</v>
      </c>
      <c r="F55" s="34">
        <v>98.85</v>
      </c>
      <c r="G55" s="34">
        <v>100.7</v>
      </c>
      <c r="H55" s="34">
        <v>103.24</v>
      </c>
      <c r="I55" s="34">
        <v>63.66</v>
      </c>
      <c r="J55" s="34">
        <v>143.85</v>
      </c>
      <c r="K55" s="34">
        <v>105.46</v>
      </c>
      <c r="L55" s="34">
        <v>143.06</v>
      </c>
      <c r="M55" s="34">
        <v>85.23</v>
      </c>
      <c r="N55" s="34">
        <v>100.88</v>
      </c>
      <c r="O55" s="34">
        <v>177.49</v>
      </c>
      <c r="P55" s="34">
        <v>169.75</v>
      </c>
      <c r="Q55" s="34">
        <v>91.43</v>
      </c>
      <c r="R55" s="34">
        <v>248.36</v>
      </c>
      <c r="S55" s="34">
        <v>163.41999999999999</v>
      </c>
      <c r="T55" s="34">
        <v>34.56</v>
      </c>
      <c r="U55" s="34">
        <v>132.83000000000001</v>
      </c>
      <c r="V55" s="34">
        <v>114.86</v>
      </c>
      <c r="W55" s="34">
        <v>90.86</v>
      </c>
      <c r="X55" s="34">
        <v>97.74</v>
      </c>
      <c r="Y55" s="34">
        <v>110.75</v>
      </c>
      <c r="Z55" s="34">
        <v>87.3</v>
      </c>
      <c r="AA55" s="34">
        <v>152.29</v>
      </c>
      <c r="AB55" s="34">
        <v>85.8</v>
      </c>
      <c r="AC55" s="34">
        <v>112.33</v>
      </c>
      <c r="AD55" s="34">
        <v>85.27</v>
      </c>
      <c r="AE55" s="34">
        <v>123.32</v>
      </c>
      <c r="AF55" s="34"/>
      <c r="AG55" s="34"/>
      <c r="AH55" s="34">
        <v>100.04</v>
      </c>
      <c r="AI55" s="34">
        <v>87.35</v>
      </c>
      <c r="AJ55" s="34">
        <v>130.55000000000001</v>
      </c>
      <c r="AK55" s="34">
        <v>175.82</v>
      </c>
      <c r="AL55" s="34"/>
      <c r="AM55" s="34">
        <v>248.33</v>
      </c>
      <c r="AN55" s="34">
        <v>104.94</v>
      </c>
      <c r="AO55" s="34">
        <v>167.97</v>
      </c>
      <c r="AP55" s="34">
        <v>128.53</v>
      </c>
      <c r="AQ55" s="34">
        <v>172.18</v>
      </c>
      <c r="AR55" s="34">
        <v>59.41</v>
      </c>
      <c r="AS55" s="34">
        <v>141.44999999999999</v>
      </c>
      <c r="AT55" s="34">
        <v>106.7</v>
      </c>
      <c r="AU55" s="34">
        <v>101.84</v>
      </c>
      <c r="AV55" s="34">
        <v>242.5</v>
      </c>
      <c r="AW55" s="34">
        <v>111.55</v>
      </c>
      <c r="AX55" s="34">
        <v>87.39</v>
      </c>
      <c r="AY55" s="34">
        <v>103.03</v>
      </c>
      <c r="AZ55" s="34">
        <v>110.18</v>
      </c>
      <c r="BA55" s="34">
        <v>150.93</v>
      </c>
      <c r="BB55" s="34">
        <v>121.66</v>
      </c>
      <c r="BC55" s="34">
        <v>85.36</v>
      </c>
      <c r="BD55" s="34">
        <v>26.37</v>
      </c>
      <c r="BE55" s="34">
        <v>183.77</v>
      </c>
      <c r="BF55" s="34"/>
      <c r="BG55" s="34">
        <v>108.92</v>
      </c>
      <c r="BH55" s="34">
        <v>119.63</v>
      </c>
      <c r="BI55" s="34">
        <v>70.61</v>
      </c>
      <c r="BJ55" s="34">
        <v>132.97999999999999</v>
      </c>
      <c r="BK55" s="34">
        <v>129.33000000000001</v>
      </c>
      <c r="BL55" s="34">
        <v>142.4</v>
      </c>
      <c r="BM55" s="34">
        <v>161.66999999999999</v>
      </c>
      <c r="BN55" s="34">
        <v>71.89</v>
      </c>
      <c r="BO55" s="34">
        <v>70.61</v>
      </c>
      <c r="BP55" s="34">
        <v>106.24</v>
      </c>
      <c r="BQ55" s="34">
        <v>84.84</v>
      </c>
      <c r="BR55" s="34">
        <v>113.17</v>
      </c>
      <c r="BS55" s="34">
        <v>127.88</v>
      </c>
      <c r="BT55" s="34">
        <v>248.01</v>
      </c>
      <c r="BU55" s="34">
        <v>84.31</v>
      </c>
      <c r="BV55" s="34">
        <v>58.81</v>
      </c>
      <c r="BW55" s="34">
        <v>100.49</v>
      </c>
      <c r="BX55" s="34">
        <v>101.78</v>
      </c>
      <c r="BY55" s="34">
        <v>82.49</v>
      </c>
      <c r="BZ55" s="34">
        <v>88.67</v>
      </c>
      <c r="CA55" s="34">
        <v>121.25</v>
      </c>
      <c r="CB55" s="34">
        <v>210.17</v>
      </c>
      <c r="CC55" s="34">
        <v>165.87</v>
      </c>
      <c r="CD55" s="34">
        <v>84.6</v>
      </c>
      <c r="CE55" s="34">
        <v>82.49</v>
      </c>
      <c r="CF55" s="34">
        <v>109.13</v>
      </c>
      <c r="CG55" s="34">
        <v>87.31</v>
      </c>
      <c r="CH55" s="34">
        <v>181.88</v>
      </c>
      <c r="CI55" s="34">
        <v>105.08</v>
      </c>
      <c r="CJ55" s="34">
        <v>115.42</v>
      </c>
      <c r="CK55" s="34">
        <v>76</v>
      </c>
      <c r="CL55" s="34">
        <v>85.62</v>
      </c>
      <c r="CM55" s="34">
        <v>75.78</v>
      </c>
      <c r="CN55" s="34">
        <v>108.38</v>
      </c>
      <c r="CO55" s="34">
        <v>75.77</v>
      </c>
      <c r="CP55" s="34">
        <v>75.78</v>
      </c>
      <c r="CQ55" s="34">
        <v>0.56000000000000005</v>
      </c>
      <c r="CR55" s="34">
        <v>70.61</v>
      </c>
      <c r="CS55" s="34">
        <v>77.38</v>
      </c>
      <c r="CT55" s="34">
        <v>102.2</v>
      </c>
      <c r="CU55" s="34">
        <v>86.69</v>
      </c>
      <c r="CV55" s="34">
        <v>70.73</v>
      </c>
      <c r="CW55" s="34">
        <v>96.11</v>
      </c>
      <c r="CX55" s="34">
        <v>0.56000000000000005</v>
      </c>
      <c r="CY55" s="34">
        <v>76.27</v>
      </c>
      <c r="CZ55" s="34">
        <v>53.78</v>
      </c>
      <c r="DA55" s="34">
        <v>86.9</v>
      </c>
      <c r="DB55" s="34">
        <v>80.33</v>
      </c>
      <c r="DC55" s="34">
        <v>88.92</v>
      </c>
      <c r="DD55" s="34">
        <v>248.01</v>
      </c>
      <c r="DE55" s="34">
        <v>65.97</v>
      </c>
      <c r="DF55" s="34">
        <v>49.16</v>
      </c>
      <c r="DG55" s="34">
        <v>60.47</v>
      </c>
      <c r="DH55" s="34">
        <v>50.53</v>
      </c>
      <c r="DI55" s="34">
        <v>45.2</v>
      </c>
      <c r="DJ55" s="34">
        <v>45.2</v>
      </c>
      <c r="DK55" s="34">
        <v>34.94</v>
      </c>
      <c r="DL55" s="9">
        <v>12.97</v>
      </c>
    </row>
    <row r="56" spans="1:116" ht="12" customHeight="1" x14ac:dyDescent="0.2">
      <c r="A56" s="15"/>
      <c r="B56" s="1">
        <v>996</v>
      </c>
      <c r="C56" s="16" t="s">
        <v>437</v>
      </c>
      <c r="D56" s="26">
        <v>2.1</v>
      </c>
      <c r="E56" s="34">
        <v>3.3</v>
      </c>
      <c r="F56" s="34">
        <v>2.04</v>
      </c>
      <c r="G56" s="34">
        <v>2.08</v>
      </c>
      <c r="H56" s="34">
        <v>2.13</v>
      </c>
      <c r="I56" s="34">
        <v>1.31</v>
      </c>
      <c r="J56" s="34">
        <v>2.97</v>
      </c>
      <c r="K56" s="34">
        <v>2.17</v>
      </c>
      <c r="L56" s="34">
        <v>2.95</v>
      </c>
      <c r="M56" s="34">
        <v>1.76</v>
      </c>
      <c r="N56" s="34">
        <v>2.08</v>
      </c>
      <c r="O56" s="34">
        <v>3.66</v>
      </c>
      <c r="P56" s="34">
        <v>3.5</v>
      </c>
      <c r="Q56" s="34">
        <v>1.89</v>
      </c>
      <c r="R56" s="34">
        <v>5.0999999999999996</v>
      </c>
      <c r="S56" s="34">
        <v>3.37</v>
      </c>
      <c r="T56" s="34">
        <v>0.71</v>
      </c>
      <c r="U56" s="34">
        <v>2.74</v>
      </c>
      <c r="V56" s="34">
        <v>2.37</v>
      </c>
      <c r="W56" s="34">
        <v>1.87</v>
      </c>
      <c r="X56" s="34">
        <v>2.02</v>
      </c>
      <c r="Y56" s="34">
        <v>2.2799999999999998</v>
      </c>
      <c r="Z56" s="34">
        <v>1.8</v>
      </c>
      <c r="AA56" s="34">
        <v>3.14</v>
      </c>
      <c r="AB56" s="34">
        <v>1.77</v>
      </c>
      <c r="AC56" s="34">
        <v>2.3199999999999998</v>
      </c>
      <c r="AD56" s="34">
        <v>1.76</v>
      </c>
      <c r="AE56" s="34">
        <v>2.54</v>
      </c>
      <c r="AF56" s="34"/>
      <c r="AG56" s="34"/>
      <c r="AH56" s="34">
        <v>2.06</v>
      </c>
      <c r="AI56" s="34">
        <v>1.8</v>
      </c>
      <c r="AJ56" s="34">
        <v>2.69</v>
      </c>
      <c r="AK56" s="34">
        <v>27.9</v>
      </c>
      <c r="AL56" s="34"/>
      <c r="AM56" s="34">
        <v>5.0999999999999996</v>
      </c>
      <c r="AN56" s="34">
        <v>2.16</v>
      </c>
      <c r="AO56" s="34">
        <v>3.46</v>
      </c>
      <c r="AP56" s="34">
        <v>2.65</v>
      </c>
      <c r="AQ56" s="34">
        <v>3.55</v>
      </c>
      <c r="AR56" s="34">
        <v>1.22</v>
      </c>
      <c r="AS56" s="34">
        <v>2.92</v>
      </c>
      <c r="AT56" s="34">
        <v>2.2000000000000002</v>
      </c>
      <c r="AU56" s="34">
        <v>2.1</v>
      </c>
      <c r="AV56" s="34">
        <v>5</v>
      </c>
      <c r="AW56" s="34">
        <v>2.2999999999999998</v>
      </c>
      <c r="AX56" s="34">
        <v>1.8</v>
      </c>
      <c r="AY56" s="34">
        <v>2.12</v>
      </c>
      <c r="AZ56" s="34">
        <v>2.27</v>
      </c>
      <c r="BA56" s="34">
        <v>3.11</v>
      </c>
      <c r="BB56" s="34">
        <v>2.5099999999999998</v>
      </c>
      <c r="BC56" s="34">
        <v>1.76</v>
      </c>
      <c r="BD56" s="34"/>
      <c r="BE56" s="34">
        <v>3.79</v>
      </c>
      <c r="BF56" s="34"/>
      <c r="BG56" s="34">
        <v>2.25</v>
      </c>
      <c r="BH56" s="34">
        <v>2.4700000000000002</v>
      </c>
      <c r="BI56" s="34">
        <v>1.46</v>
      </c>
      <c r="BJ56" s="34">
        <v>2.74</v>
      </c>
      <c r="BK56" s="34">
        <v>2.67</v>
      </c>
      <c r="BL56" s="34">
        <v>2.94</v>
      </c>
      <c r="BM56" s="34">
        <v>3.33</v>
      </c>
      <c r="BN56" s="34">
        <v>1.48</v>
      </c>
      <c r="BO56" s="34">
        <v>1.46</v>
      </c>
      <c r="BP56" s="34">
        <v>2.19</v>
      </c>
      <c r="BQ56" s="34">
        <v>1.75</v>
      </c>
      <c r="BR56" s="34">
        <v>2.33</v>
      </c>
      <c r="BS56" s="34">
        <v>2.64</v>
      </c>
      <c r="BT56" s="34">
        <v>5.0999999999999996</v>
      </c>
      <c r="BU56" s="34">
        <v>1.74</v>
      </c>
      <c r="BV56" s="34">
        <v>1.21</v>
      </c>
      <c r="BW56" s="34">
        <v>2.0699999999999998</v>
      </c>
      <c r="BX56" s="34">
        <v>2.1</v>
      </c>
      <c r="BY56" s="34">
        <v>1.7</v>
      </c>
      <c r="BZ56" s="34">
        <v>1.83</v>
      </c>
      <c r="CA56" s="34">
        <v>2.5</v>
      </c>
      <c r="CB56" s="34">
        <v>4.33</v>
      </c>
      <c r="CC56" s="34">
        <v>3.42</v>
      </c>
      <c r="CD56" s="34">
        <v>1.74</v>
      </c>
      <c r="CE56" s="34">
        <v>1.7</v>
      </c>
      <c r="CF56" s="34">
        <v>2.25</v>
      </c>
      <c r="CG56" s="34">
        <v>1.8</v>
      </c>
      <c r="CH56" s="34">
        <v>3.75</v>
      </c>
      <c r="CI56" s="34">
        <v>2.17</v>
      </c>
      <c r="CJ56" s="34">
        <v>2.38</v>
      </c>
      <c r="CK56" s="34">
        <v>1.57</v>
      </c>
      <c r="CL56" s="34">
        <v>1.77</v>
      </c>
      <c r="CM56" s="34">
        <v>1.56</v>
      </c>
      <c r="CN56" s="34">
        <v>2.23</v>
      </c>
      <c r="CO56" s="34">
        <v>1.56</v>
      </c>
      <c r="CP56" s="34">
        <v>1.56</v>
      </c>
      <c r="CQ56" s="34"/>
      <c r="CR56" s="34">
        <v>1.46</v>
      </c>
      <c r="CS56" s="34">
        <v>1.6</v>
      </c>
      <c r="CT56" s="34">
        <v>2.11</v>
      </c>
      <c r="CU56" s="34">
        <v>1.79</v>
      </c>
      <c r="CV56" s="34">
        <v>1.46</v>
      </c>
      <c r="CW56" s="34">
        <v>1.98</v>
      </c>
      <c r="CX56" s="34"/>
      <c r="CY56" s="34">
        <v>1.57</v>
      </c>
      <c r="CZ56" s="34">
        <v>1.1100000000000001</v>
      </c>
      <c r="DA56" s="34">
        <v>1.79</v>
      </c>
      <c r="DB56" s="34">
        <v>1.66</v>
      </c>
      <c r="DC56" s="34">
        <v>1.83</v>
      </c>
      <c r="DD56" s="34">
        <v>5.0999999999999996</v>
      </c>
      <c r="DE56" s="34">
        <v>1.36</v>
      </c>
      <c r="DF56" s="34">
        <v>1.01</v>
      </c>
      <c r="DG56" s="34">
        <v>1.25</v>
      </c>
      <c r="DH56" s="34">
        <v>1.04</v>
      </c>
      <c r="DI56" s="34">
        <v>0.93</v>
      </c>
      <c r="DJ56" s="34">
        <v>0.93</v>
      </c>
      <c r="DK56" s="34">
        <v>0.72</v>
      </c>
      <c r="DL56" s="9">
        <v>0.27</v>
      </c>
    </row>
    <row r="57" spans="1:116" ht="12" customHeight="1" x14ac:dyDescent="0.2">
      <c r="A57" s="15"/>
      <c r="B57" s="1">
        <v>997</v>
      </c>
      <c r="C57" s="16" t="s">
        <v>438</v>
      </c>
      <c r="D57" s="26">
        <v>32.549999999999997</v>
      </c>
      <c r="E57" s="34">
        <v>51.2</v>
      </c>
      <c r="F57" s="34">
        <v>31.59</v>
      </c>
      <c r="G57" s="34">
        <v>32.18</v>
      </c>
      <c r="H57" s="34">
        <v>33</v>
      </c>
      <c r="I57" s="34">
        <v>20.34</v>
      </c>
      <c r="J57" s="34">
        <v>45.97</v>
      </c>
      <c r="K57" s="34">
        <v>33.71</v>
      </c>
      <c r="L57" s="34">
        <v>45.72</v>
      </c>
      <c r="M57" s="34">
        <v>27.24</v>
      </c>
      <c r="N57" s="34">
        <v>32.24</v>
      </c>
      <c r="O57" s="34">
        <v>56.72</v>
      </c>
      <c r="P57" s="34">
        <v>54.25</v>
      </c>
      <c r="Q57" s="34">
        <v>29.22</v>
      </c>
      <c r="R57" s="34">
        <v>79.069999999999993</v>
      </c>
      <c r="S57" s="34">
        <v>52.23</v>
      </c>
      <c r="T57" s="34">
        <v>11.04</v>
      </c>
      <c r="U57" s="34">
        <v>42.45</v>
      </c>
      <c r="V57" s="34">
        <v>36.71</v>
      </c>
      <c r="W57" s="34">
        <v>29.04</v>
      </c>
      <c r="X57" s="34">
        <v>31.24</v>
      </c>
      <c r="Y57" s="34">
        <v>35.39</v>
      </c>
      <c r="Z57" s="34">
        <v>27.9</v>
      </c>
      <c r="AA57" s="34">
        <v>48.67</v>
      </c>
      <c r="AB57" s="34">
        <v>27.42</v>
      </c>
      <c r="AC57" s="34">
        <v>35.9</v>
      </c>
      <c r="AD57" s="34">
        <v>27.25</v>
      </c>
      <c r="AE57" s="34">
        <v>39.409999999999997</v>
      </c>
      <c r="AF57" s="34"/>
      <c r="AG57" s="34"/>
      <c r="AH57" s="34">
        <v>31.97</v>
      </c>
      <c r="AI57" s="34">
        <v>27.92</v>
      </c>
      <c r="AJ57" s="34">
        <v>41.72</v>
      </c>
      <c r="AK57" s="34">
        <v>31.91</v>
      </c>
      <c r="AL57" s="34"/>
      <c r="AM57" s="34">
        <v>79.069999999999993</v>
      </c>
      <c r="AN57" s="34">
        <v>33.54</v>
      </c>
      <c r="AO57" s="34">
        <v>53.68</v>
      </c>
      <c r="AP57" s="34">
        <v>41.08</v>
      </c>
      <c r="AQ57" s="34">
        <v>55.03</v>
      </c>
      <c r="AR57" s="34">
        <v>18.989999999999998</v>
      </c>
      <c r="AS57" s="34">
        <v>45.21</v>
      </c>
      <c r="AT57" s="34">
        <v>34.1</v>
      </c>
      <c r="AU57" s="34">
        <v>32.549999999999997</v>
      </c>
      <c r="AV57" s="34">
        <v>77.5</v>
      </c>
      <c r="AW57" s="34">
        <v>35.65</v>
      </c>
      <c r="AX57" s="34">
        <v>27.93</v>
      </c>
      <c r="AY57" s="34">
        <v>32.93</v>
      </c>
      <c r="AZ57" s="34">
        <v>35.21</v>
      </c>
      <c r="BA57" s="34">
        <v>48.23</v>
      </c>
      <c r="BB57" s="34">
        <v>38.880000000000003</v>
      </c>
      <c r="BC57" s="34">
        <v>27.28</v>
      </c>
      <c r="BD57" s="34"/>
      <c r="BE57" s="34">
        <v>58.73</v>
      </c>
      <c r="BF57" s="34"/>
      <c r="BG57" s="34">
        <v>34.81</v>
      </c>
      <c r="BH57" s="34">
        <v>38.229999999999997</v>
      </c>
      <c r="BI57" s="34">
        <v>22.57</v>
      </c>
      <c r="BJ57" s="34">
        <v>42.5</v>
      </c>
      <c r="BK57" s="34">
        <v>41.33</v>
      </c>
      <c r="BL57" s="34">
        <v>45.51</v>
      </c>
      <c r="BM57" s="34">
        <v>51.67</v>
      </c>
      <c r="BN57" s="34">
        <v>22.98</v>
      </c>
      <c r="BO57" s="34">
        <v>22.57</v>
      </c>
      <c r="BP57" s="34">
        <v>33.950000000000003</v>
      </c>
      <c r="BQ57" s="34">
        <v>27.11</v>
      </c>
      <c r="BR57" s="34">
        <v>36.17</v>
      </c>
      <c r="BS57" s="34">
        <v>40.869999999999997</v>
      </c>
      <c r="BT57" s="34">
        <v>79.069999999999993</v>
      </c>
      <c r="BU57" s="34">
        <v>26.94</v>
      </c>
      <c r="BV57" s="34">
        <v>18.8</v>
      </c>
      <c r="BW57" s="34">
        <v>32.119999999999997</v>
      </c>
      <c r="BX57" s="34">
        <v>32.53</v>
      </c>
      <c r="BY57" s="34">
        <v>26.36</v>
      </c>
      <c r="BZ57" s="34">
        <v>28.34</v>
      </c>
      <c r="CA57" s="34">
        <v>38.75</v>
      </c>
      <c r="CB57" s="34">
        <v>67.17</v>
      </c>
      <c r="CC57" s="34">
        <v>53.01</v>
      </c>
      <c r="CD57" s="34">
        <v>27.04</v>
      </c>
      <c r="CE57" s="34">
        <v>26.36</v>
      </c>
      <c r="CF57" s="34">
        <v>34.880000000000003</v>
      </c>
      <c r="CG57" s="34">
        <v>27.9</v>
      </c>
      <c r="CH57" s="34">
        <v>58.13</v>
      </c>
      <c r="CI57" s="34">
        <v>33.58</v>
      </c>
      <c r="CJ57" s="34">
        <v>36.89</v>
      </c>
      <c r="CK57" s="34">
        <v>24.29</v>
      </c>
      <c r="CL57" s="34">
        <v>27.36</v>
      </c>
      <c r="CM57" s="34">
        <v>24.22</v>
      </c>
      <c r="CN57" s="34">
        <v>34.64</v>
      </c>
      <c r="CO57" s="34">
        <v>24.22</v>
      </c>
      <c r="CP57" s="34">
        <v>24.22</v>
      </c>
      <c r="CQ57" s="34"/>
      <c r="CR57" s="34">
        <v>22.57</v>
      </c>
      <c r="CS57" s="34">
        <v>24.73</v>
      </c>
      <c r="CT57" s="34">
        <v>32.659999999999997</v>
      </c>
      <c r="CU57" s="34">
        <v>27.7</v>
      </c>
      <c r="CV57" s="34">
        <v>22.6</v>
      </c>
      <c r="CW57" s="34">
        <v>30.72</v>
      </c>
      <c r="CX57" s="34"/>
      <c r="CY57" s="34">
        <v>24.37</v>
      </c>
      <c r="CZ57" s="34">
        <v>17.190000000000001</v>
      </c>
      <c r="DA57" s="34">
        <v>27.77</v>
      </c>
      <c r="DB57" s="34">
        <v>25.67</v>
      </c>
      <c r="DC57" s="34">
        <v>28.42</v>
      </c>
      <c r="DD57" s="34">
        <v>79.069999999999993</v>
      </c>
      <c r="DE57" s="34">
        <v>21.08</v>
      </c>
      <c r="DF57" s="34">
        <v>15.71</v>
      </c>
      <c r="DG57" s="34">
        <v>19.329999999999998</v>
      </c>
      <c r="DH57" s="34">
        <v>16.149999999999999</v>
      </c>
      <c r="DI57" s="34">
        <v>14.44</v>
      </c>
      <c r="DJ57" s="34">
        <v>14.44</v>
      </c>
      <c r="DK57" s="34">
        <v>11.17</v>
      </c>
      <c r="DL57" s="9">
        <v>4.1399999999999997</v>
      </c>
    </row>
    <row r="58" spans="1:116" ht="12" customHeight="1" x14ac:dyDescent="0.2">
      <c r="A58" s="15"/>
      <c r="B58" s="1">
        <v>999</v>
      </c>
      <c r="C58" s="16" t="s">
        <v>439</v>
      </c>
      <c r="D58" s="26">
        <v>276.89</v>
      </c>
      <c r="E58" s="34">
        <v>405.87</v>
      </c>
      <c r="F58" s="34">
        <v>297.29000000000002</v>
      </c>
      <c r="G58" s="34">
        <v>263.8</v>
      </c>
      <c r="H58" s="34">
        <v>280.89999999999998</v>
      </c>
      <c r="I58" s="34">
        <v>196.76</v>
      </c>
      <c r="J58" s="34">
        <v>679.92</v>
      </c>
      <c r="K58" s="34">
        <v>231.85</v>
      </c>
      <c r="L58" s="34">
        <v>333.23</v>
      </c>
      <c r="M58" s="34">
        <v>152.29</v>
      </c>
      <c r="N58" s="34">
        <v>230.39</v>
      </c>
      <c r="O58" s="34">
        <v>599.32000000000005</v>
      </c>
      <c r="P58" s="34">
        <v>717.69</v>
      </c>
      <c r="Q58" s="34">
        <v>211.8</v>
      </c>
      <c r="R58" s="34">
        <v>1434.76</v>
      </c>
      <c r="S58" s="34">
        <v>909.57</v>
      </c>
      <c r="T58" s="34">
        <v>177.93</v>
      </c>
      <c r="U58" s="34">
        <v>334.04</v>
      </c>
      <c r="V58" s="34">
        <v>365.31</v>
      </c>
      <c r="W58" s="34">
        <v>173.59</v>
      </c>
      <c r="X58" s="34">
        <v>286.26</v>
      </c>
      <c r="Y58" s="34">
        <v>367.72</v>
      </c>
      <c r="Z58" s="34">
        <v>155.09</v>
      </c>
      <c r="AA58" s="34">
        <v>582.96</v>
      </c>
      <c r="AB58" s="34">
        <v>300.3</v>
      </c>
      <c r="AC58" s="34">
        <v>312.62</v>
      </c>
      <c r="AD58" s="34">
        <v>87.87</v>
      </c>
      <c r="AE58" s="34">
        <v>397.06</v>
      </c>
      <c r="AF58" s="34">
        <v>741.39</v>
      </c>
      <c r="AG58" s="34">
        <v>1133.33</v>
      </c>
      <c r="AH58" s="34">
        <v>152.59</v>
      </c>
      <c r="AI58" s="34">
        <v>251.5</v>
      </c>
      <c r="AJ58" s="34">
        <v>444.01</v>
      </c>
      <c r="AK58" s="34">
        <v>567.09</v>
      </c>
      <c r="AL58" s="34"/>
      <c r="AM58" s="34">
        <v>1441.42</v>
      </c>
      <c r="AN58" s="34">
        <v>329.84</v>
      </c>
      <c r="AO58" s="34">
        <v>571.66999999999996</v>
      </c>
      <c r="AP58" s="34">
        <v>405.86</v>
      </c>
      <c r="AQ58" s="34">
        <v>646.66999999999996</v>
      </c>
      <c r="AR58" s="34">
        <v>115.71</v>
      </c>
      <c r="AS58" s="34">
        <v>537.4</v>
      </c>
      <c r="AT58" s="34">
        <v>324.39</v>
      </c>
      <c r="AU58" s="34">
        <v>335.83</v>
      </c>
      <c r="AV58" s="34">
        <v>1220.81</v>
      </c>
      <c r="AW58" s="34">
        <v>327.41000000000003</v>
      </c>
      <c r="AX58" s="34">
        <v>174.62</v>
      </c>
      <c r="AY58" s="34">
        <v>318.74</v>
      </c>
      <c r="AZ58" s="34">
        <v>359.47</v>
      </c>
      <c r="BA58" s="34">
        <v>424.35</v>
      </c>
      <c r="BB58" s="34">
        <v>182.64</v>
      </c>
      <c r="BC58" s="34">
        <v>210.22</v>
      </c>
      <c r="BD58" s="34">
        <v>117.11</v>
      </c>
      <c r="BE58" s="34">
        <v>647.42999999999995</v>
      </c>
      <c r="BF58" s="34"/>
      <c r="BG58" s="34">
        <v>356.96</v>
      </c>
      <c r="BH58" s="34">
        <v>295.41000000000003</v>
      </c>
      <c r="BI58" s="34">
        <v>89.2</v>
      </c>
      <c r="BJ58" s="34">
        <v>402.39</v>
      </c>
      <c r="BK58" s="34">
        <v>461.2</v>
      </c>
      <c r="BL58" s="34">
        <v>542.45000000000005</v>
      </c>
      <c r="BM58" s="34">
        <v>660.51</v>
      </c>
      <c r="BN58" s="34">
        <v>42.23</v>
      </c>
      <c r="BO58" s="34">
        <v>49.62</v>
      </c>
      <c r="BP58" s="34">
        <v>329.21</v>
      </c>
      <c r="BQ58" s="34">
        <v>204.23</v>
      </c>
      <c r="BR58" s="34">
        <v>337.05</v>
      </c>
      <c r="BS58" s="34">
        <v>398.02</v>
      </c>
      <c r="BT58" s="34">
        <v>1364.81</v>
      </c>
      <c r="BU58" s="34">
        <v>200.33</v>
      </c>
      <c r="BV58" s="34">
        <v>34.54</v>
      </c>
      <c r="BW58" s="34">
        <v>305.70999999999998</v>
      </c>
      <c r="BX58" s="34">
        <v>331.45</v>
      </c>
      <c r="BY58" s="34">
        <v>190.92</v>
      </c>
      <c r="BZ58" s="34">
        <v>237.41</v>
      </c>
      <c r="CA58" s="34">
        <v>400.21</v>
      </c>
      <c r="CB58" s="34">
        <v>1003.42</v>
      </c>
      <c r="CC58" s="34">
        <v>705.39</v>
      </c>
      <c r="CD58" s="34">
        <v>207.65</v>
      </c>
      <c r="CE58" s="34">
        <v>188.37</v>
      </c>
      <c r="CF58" s="34">
        <v>376.3</v>
      </c>
      <c r="CG58" s="34">
        <v>229.6</v>
      </c>
      <c r="CH58" s="34">
        <v>803.09</v>
      </c>
      <c r="CI58" s="34">
        <v>330.08</v>
      </c>
      <c r="CJ58" s="34">
        <v>388.72</v>
      </c>
      <c r="CK58" s="34">
        <v>135.63</v>
      </c>
      <c r="CL58" s="34">
        <v>85.23</v>
      </c>
      <c r="CM58" s="34">
        <v>133.84</v>
      </c>
      <c r="CN58" s="34">
        <v>346.05</v>
      </c>
      <c r="CO58" s="34">
        <v>119.52</v>
      </c>
      <c r="CP58" s="34">
        <v>133.84</v>
      </c>
      <c r="CQ58" s="34">
        <v>12.99</v>
      </c>
      <c r="CR58" s="34">
        <v>0.73</v>
      </c>
      <c r="CS58" s="34">
        <v>51.03</v>
      </c>
      <c r="CT58" s="34">
        <v>250.27</v>
      </c>
      <c r="CU58" s="34">
        <v>151.15</v>
      </c>
      <c r="CV58" s="34">
        <v>91.24</v>
      </c>
      <c r="CW58" s="34">
        <v>271.18</v>
      </c>
      <c r="CX58" s="34">
        <v>10.29</v>
      </c>
      <c r="CY58" s="34">
        <v>48.25</v>
      </c>
      <c r="CZ58" s="34"/>
      <c r="DA58" s="34">
        <v>180.89</v>
      </c>
      <c r="DB58" s="34">
        <v>163.08000000000001</v>
      </c>
      <c r="DC58" s="34">
        <v>241.16</v>
      </c>
      <c r="DD58" s="34">
        <v>1344.22</v>
      </c>
      <c r="DE58" s="34">
        <v>50.59</v>
      </c>
      <c r="DF58" s="34">
        <v>75.150000000000006</v>
      </c>
      <c r="DG58" s="34">
        <v>138.07</v>
      </c>
      <c r="DH58" s="34">
        <v>77.040000000000006</v>
      </c>
      <c r="DI58" s="34">
        <v>55.48</v>
      </c>
      <c r="DJ58" s="34">
        <v>55.48</v>
      </c>
      <c r="DK58" s="34">
        <v>91.98</v>
      </c>
      <c r="DL58" s="9">
        <v>46.74</v>
      </c>
    </row>
    <row r="59" spans="1:116" ht="12" customHeight="1" x14ac:dyDescent="0.2">
      <c r="A59" s="15"/>
      <c r="B59" s="1"/>
      <c r="C59" s="16"/>
      <c r="D59" s="25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8"/>
    </row>
    <row r="60" spans="1:116" ht="12" customHeight="1" x14ac:dyDescent="0.2">
      <c r="A60" s="15" t="s">
        <v>440</v>
      </c>
      <c r="B60" s="1"/>
      <c r="C60" s="16"/>
      <c r="D60" s="26">
        <f t="shared" ref="D60:AI60" si="4">SUM(D47:D59)</f>
        <v>414.15999999999997</v>
      </c>
      <c r="E60" s="34">
        <f t="shared" si="4"/>
        <v>621.34</v>
      </c>
      <c r="F60" s="34">
        <f t="shared" si="4"/>
        <v>505.54</v>
      </c>
      <c r="G60" s="34">
        <f t="shared" si="4"/>
        <v>599.53</v>
      </c>
      <c r="H60" s="34">
        <f t="shared" si="4"/>
        <v>420.03999999999996</v>
      </c>
      <c r="I60" s="34">
        <f t="shared" si="4"/>
        <v>282.83999999999997</v>
      </c>
      <c r="J60" s="34">
        <f t="shared" si="4"/>
        <v>873.48</v>
      </c>
      <c r="K60" s="34">
        <f t="shared" si="4"/>
        <v>373.96</v>
      </c>
      <c r="L60" s="34">
        <f t="shared" si="4"/>
        <v>525.73</v>
      </c>
      <c r="M60" s="34">
        <f t="shared" si="4"/>
        <v>267.14</v>
      </c>
      <c r="N60" s="34">
        <f t="shared" si="4"/>
        <v>366.36</v>
      </c>
      <c r="O60" s="34">
        <f t="shared" si="4"/>
        <v>917.86000000000013</v>
      </c>
      <c r="P60" s="34">
        <f t="shared" si="4"/>
        <v>945.96</v>
      </c>
      <c r="Q60" s="34">
        <f t="shared" si="4"/>
        <v>335.11</v>
      </c>
      <c r="R60" s="34">
        <f t="shared" si="4"/>
        <v>1768.06</v>
      </c>
      <c r="S60" s="34">
        <f t="shared" si="4"/>
        <v>1398.17</v>
      </c>
      <c r="T60" s="34">
        <f t="shared" si="4"/>
        <v>451.59</v>
      </c>
      <c r="U60" s="34">
        <f t="shared" si="4"/>
        <v>512.83000000000004</v>
      </c>
      <c r="V60" s="34">
        <f t="shared" si="4"/>
        <v>610.21</v>
      </c>
      <c r="W60" s="34">
        <f t="shared" si="4"/>
        <v>421.13</v>
      </c>
      <c r="X60" s="34">
        <f t="shared" si="4"/>
        <v>618.03</v>
      </c>
      <c r="Y60" s="34">
        <f t="shared" si="4"/>
        <v>716.91</v>
      </c>
      <c r="Z60" s="34">
        <f t="shared" si="4"/>
        <v>612.86</v>
      </c>
      <c r="AA60" s="34">
        <f t="shared" si="4"/>
        <v>787.83</v>
      </c>
      <c r="AB60" s="34">
        <f t="shared" si="4"/>
        <v>1320.06</v>
      </c>
      <c r="AC60" s="34">
        <f t="shared" si="4"/>
        <v>463.76</v>
      </c>
      <c r="AD60" s="34">
        <f t="shared" si="4"/>
        <v>302.91999999999996</v>
      </c>
      <c r="AE60" s="34">
        <f t="shared" si="4"/>
        <v>563.1</v>
      </c>
      <c r="AF60" s="34">
        <f t="shared" si="4"/>
        <v>741.39</v>
      </c>
      <c r="AG60" s="34">
        <f t="shared" si="4"/>
        <v>1838.85</v>
      </c>
      <c r="AH60" s="34">
        <f t="shared" si="4"/>
        <v>287.43</v>
      </c>
      <c r="AI60" s="34">
        <f t="shared" si="4"/>
        <v>369.34</v>
      </c>
      <c r="AJ60" s="34">
        <f t="shared" ref="AJ60:BO60" si="5">SUM(AJ47:AJ59)</f>
        <v>619.74</v>
      </c>
      <c r="AK60" s="34">
        <f t="shared" si="5"/>
        <v>802.85</v>
      </c>
      <c r="AL60" s="34">
        <f t="shared" si="5"/>
        <v>0</v>
      </c>
      <c r="AM60" s="34">
        <f t="shared" si="5"/>
        <v>1774.69</v>
      </c>
      <c r="AN60" s="34">
        <f t="shared" si="5"/>
        <v>471.25</v>
      </c>
      <c r="AO60" s="34">
        <f t="shared" si="5"/>
        <v>1301.26</v>
      </c>
      <c r="AP60" s="34">
        <f t="shared" si="5"/>
        <v>578.8900000000001</v>
      </c>
      <c r="AQ60" s="34">
        <f t="shared" si="5"/>
        <v>664.93999999999994</v>
      </c>
      <c r="AR60" s="34">
        <f t="shared" si="5"/>
        <v>195.87</v>
      </c>
      <c r="AS60" s="34">
        <f t="shared" si="5"/>
        <v>727.75</v>
      </c>
      <c r="AT60" s="34">
        <f t="shared" si="5"/>
        <v>468.15999999999997</v>
      </c>
      <c r="AU60" s="34">
        <f t="shared" si="5"/>
        <v>497.34999999999997</v>
      </c>
      <c r="AV60" s="34">
        <f t="shared" si="5"/>
        <v>1546.58</v>
      </c>
      <c r="AW60" s="34">
        <f t="shared" si="5"/>
        <v>477.68</v>
      </c>
      <c r="AX60" s="34">
        <f t="shared" si="5"/>
        <v>292.38</v>
      </c>
      <c r="AY60" s="34">
        <f t="shared" si="5"/>
        <v>543.20000000000005</v>
      </c>
      <c r="AZ60" s="34">
        <f t="shared" si="5"/>
        <v>507.90000000000003</v>
      </c>
      <c r="BA60" s="34">
        <f t="shared" si="5"/>
        <v>627.3900000000001</v>
      </c>
      <c r="BB60" s="34">
        <f t="shared" si="5"/>
        <v>345.69</v>
      </c>
      <c r="BC60" s="34">
        <f t="shared" si="5"/>
        <v>325.39</v>
      </c>
      <c r="BD60" s="34">
        <f t="shared" si="5"/>
        <v>144.25</v>
      </c>
      <c r="BE60" s="34">
        <f t="shared" si="5"/>
        <v>894.49</v>
      </c>
      <c r="BF60" s="34">
        <f t="shared" si="5"/>
        <v>0</v>
      </c>
      <c r="BG60" s="34">
        <f t="shared" si="5"/>
        <v>503.71</v>
      </c>
      <c r="BH60" s="34">
        <f t="shared" si="5"/>
        <v>494.61</v>
      </c>
      <c r="BI60" s="34">
        <f t="shared" si="5"/>
        <v>184.61</v>
      </c>
      <c r="BJ60" s="34">
        <f t="shared" si="5"/>
        <v>715.06</v>
      </c>
      <c r="BK60" s="34">
        <f t="shared" si="5"/>
        <v>635.29999999999995</v>
      </c>
      <c r="BL60" s="34">
        <f t="shared" si="5"/>
        <v>734.07</v>
      </c>
      <c r="BM60" s="34">
        <f t="shared" si="5"/>
        <v>882.34999999999991</v>
      </c>
      <c r="BN60" s="34">
        <f t="shared" si="5"/>
        <v>139.35</v>
      </c>
      <c r="BO60" s="34">
        <f t="shared" si="5"/>
        <v>145.03</v>
      </c>
      <c r="BP60" s="34">
        <f t="shared" ref="BP60:CU60" si="6">SUM(BP47:BP59)</f>
        <v>672.23</v>
      </c>
      <c r="BQ60" s="34">
        <f t="shared" si="6"/>
        <v>518.70000000000005</v>
      </c>
      <c r="BR60" s="34">
        <f t="shared" si="6"/>
        <v>489.49</v>
      </c>
      <c r="BS60" s="34">
        <f t="shared" si="6"/>
        <v>570.17999999999995</v>
      </c>
      <c r="BT60" s="34">
        <f t="shared" si="6"/>
        <v>1697.76</v>
      </c>
      <c r="BU60" s="34">
        <f t="shared" si="6"/>
        <v>614.09</v>
      </c>
      <c r="BV60" s="34">
        <f t="shared" si="6"/>
        <v>113.87</v>
      </c>
      <c r="BW60" s="34">
        <f t="shared" si="6"/>
        <v>516</v>
      </c>
      <c r="BX60" s="34">
        <f t="shared" si="6"/>
        <v>468.63</v>
      </c>
      <c r="BY60" s="34">
        <f t="shared" si="6"/>
        <v>302.24</v>
      </c>
      <c r="BZ60" s="34">
        <f t="shared" si="6"/>
        <v>357.02</v>
      </c>
      <c r="CA60" s="34">
        <f t="shared" si="6"/>
        <v>637.16999999999996</v>
      </c>
      <c r="CB60" s="34">
        <f t="shared" si="6"/>
        <v>1312.4099999999999</v>
      </c>
      <c r="CC60" s="34">
        <f t="shared" si="6"/>
        <v>928.46</v>
      </c>
      <c r="CD60" s="34">
        <f t="shared" si="6"/>
        <v>321.79999999999995</v>
      </c>
      <c r="CE60" s="34">
        <f t="shared" si="6"/>
        <v>299.69</v>
      </c>
      <c r="CF60" s="34">
        <f t="shared" si="6"/>
        <v>523.33000000000004</v>
      </c>
      <c r="CG60" s="34">
        <f t="shared" si="6"/>
        <v>383.94</v>
      </c>
      <c r="CH60" s="34">
        <f t="shared" si="6"/>
        <v>1146.53</v>
      </c>
      <c r="CI60" s="34">
        <f t="shared" si="6"/>
        <v>471.67999999999995</v>
      </c>
      <c r="CJ60" s="34">
        <f t="shared" si="6"/>
        <v>544.18000000000006</v>
      </c>
      <c r="CK60" s="34">
        <f t="shared" si="6"/>
        <v>238.26</v>
      </c>
      <c r="CL60" s="34">
        <f t="shared" si="6"/>
        <v>200.75</v>
      </c>
      <c r="CM60" s="34">
        <f t="shared" si="6"/>
        <v>236.17000000000002</v>
      </c>
      <c r="CN60" s="34">
        <f t="shared" si="6"/>
        <v>492.07</v>
      </c>
      <c r="CO60" s="34">
        <f t="shared" si="6"/>
        <v>221.1</v>
      </c>
      <c r="CP60" s="34">
        <f t="shared" si="6"/>
        <v>236.17000000000002</v>
      </c>
      <c r="CQ60" s="34">
        <f t="shared" si="6"/>
        <v>13.55</v>
      </c>
      <c r="CR60" s="34">
        <f t="shared" si="6"/>
        <v>96.14</v>
      </c>
      <c r="CS60" s="34">
        <f t="shared" si="6"/>
        <v>155.51</v>
      </c>
      <c r="CT60" s="34">
        <f t="shared" si="6"/>
        <v>387.93</v>
      </c>
      <c r="CU60" s="34">
        <f t="shared" si="6"/>
        <v>405.13</v>
      </c>
      <c r="CV60" s="34">
        <f t="shared" ref="CV60:DL60" si="7">SUM(CV47:CV59)</f>
        <v>186.8</v>
      </c>
      <c r="CW60" s="34">
        <f t="shared" si="7"/>
        <v>400.76</v>
      </c>
      <c r="CX60" s="34">
        <f t="shared" si="7"/>
        <v>10.85</v>
      </c>
      <c r="CY60" s="34">
        <f t="shared" si="7"/>
        <v>151.22999999999999</v>
      </c>
      <c r="CZ60" s="34">
        <f t="shared" si="7"/>
        <v>92.03</v>
      </c>
      <c r="DA60" s="34">
        <f t="shared" si="7"/>
        <v>298.12</v>
      </c>
      <c r="DB60" s="34">
        <f t="shared" si="7"/>
        <v>271.51</v>
      </c>
      <c r="DC60" s="34">
        <f t="shared" si="7"/>
        <v>361.1</v>
      </c>
      <c r="DD60" s="34">
        <f t="shared" si="7"/>
        <v>1677.17</v>
      </c>
      <c r="DE60" s="34">
        <f t="shared" si="7"/>
        <v>139.72</v>
      </c>
      <c r="DF60" s="34">
        <f t="shared" si="7"/>
        <v>141.80000000000001</v>
      </c>
      <c r="DG60" s="34">
        <f t="shared" si="7"/>
        <v>219.89</v>
      </c>
      <c r="DH60" s="34">
        <f t="shared" si="7"/>
        <v>145.53000000000003</v>
      </c>
      <c r="DI60" s="34">
        <f t="shared" si="7"/>
        <v>116.82</v>
      </c>
      <c r="DJ60" s="34">
        <f t="shared" si="7"/>
        <v>116.82</v>
      </c>
      <c r="DK60" s="34">
        <f t="shared" si="7"/>
        <v>139.58000000000001</v>
      </c>
      <c r="DL60" s="9">
        <f t="shared" si="7"/>
        <v>64.89</v>
      </c>
    </row>
    <row r="61" spans="1:116" ht="12" customHeight="1" x14ac:dyDescent="0.2">
      <c r="A61" s="15"/>
      <c r="B61" s="1"/>
      <c r="C61" s="16"/>
      <c r="D61" s="25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8"/>
    </row>
    <row r="62" spans="1:116" ht="12" customHeight="1" x14ac:dyDescent="0.2">
      <c r="A62" s="15" t="s">
        <v>441</v>
      </c>
      <c r="B62" s="1"/>
      <c r="C62" s="16"/>
      <c r="D62" s="26">
        <f t="shared" ref="D62:AI62" si="8">(D46-D60)</f>
        <v>1685.8400000000001</v>
      </c>
      <c r="E62" s="34">
        <f t="shared" si="8"/>
        <v>2681.8599999999997</v>
      </c>
      <c r="F62" s="34">
        <f t="shared" si="8"/>
        <v>1494.4700000000003</v>
      </c>
      <c r="G62" s="34">
        <f t="shared" si="8"/>
        <v>1476.76</v>
      </c>
      <c r="H62" s="34">
        <f t="shared" si="8"/>
        <v>1708.7400000000002</v>
      </c>
      <c r="I62" s="34">
        <f t="shared" si="8"/>
        <v>1029.6600000000001</v>
      </c>
      <c r="J62" s="34">
        <f t="shared" si="8"/>
        <v>2092.48</v>
      </c>
      <c r="K62" s="34">
        <f t="shared" si="8"/>
        <v>1528.75</v>
      </c>
      <c r="L62" s="34">
        <f t="shared" si="8"/>
        <v>2423.9900000000002</v>
      </c>
      <c r="M62" s="34">
        <f t="shared" si="8"/>
        <v>1226.48</v>
      </c>
      <c r="N62" s="34">
        <f t="shared" si="8"/>
        <v>1713.6999999999998</v>
      </c>
      <c r="O62" s="34">
        <f t="shared" si="8"/>
        <v>2741.74</v>
      </c>
      <c r="P62" s="34">
        <f t="shared" si="8"/>
        <v>2554.04</v>
      </c>
      <c r="Q62" s="34">
        <f t="shared" si="8"/>
        <v>1549.96</v>
      </c>
      <c r="R62" s="34">
        <f t="shared" si="8"/>
        <v>3830.6699999999996</v>
      </c>
      <c r="S62" s="34">
        <f t="shared" si="8"/>
        <v>1971.3899999999999</v>
      </c>
      <c r="T62" s="34">
        <f t="shared" si="8"/>
        <v>260.91000000000003</v>
      </c>
      <c r="U62" s="34">
        <f t="shared" si="8"/>
        <v>2225.94</v>
      </c>
      <c r="V62" s="34">
        <f t="shared" si="8"/>
        <v>1758.1200000000003</v>
      </c>
      <c r="W62" s="34">
        <f t="shared" si="8"/>
        <v>1452.2199999999993</v>
      </c>
      <c r="X62" s="34">
        <f t="shared" si="8"/>
        <v>1397.26</v>
      </c>
      <c r="Y62" s="34">
        <f t="shared" si="8"/>
        <v>1566.4299999999998</v>
      </c>
      <c r="Z62" s="34">
        <f t="shared" si="8"/>
        <v>1187.1400000000003</v>
      </c>
      <c r="AA62" s="34">
        <f t="shared" si="8"/>
        <v>2352.17</v>
      </c>
      <c r="AB62" s="34">
        <f t="shared" si="8"/>
        <v>449.08000000000015</v>
      </c>
      <c r="AC62" s="34">
        <f t="shared" si="8"/>
        <v>1512.95</v>
      </c>
      <c r="AD62" s="34">
        <f t="shared" si="8"/>
        <v>1455.25</v>
      </c>
      <c r="AE62" s="34">
        <f t="shared" si="8"/>
        <v>1979.67</v>
      </c>
      <c r="AF62" s="34">
        <f t="shared" si="8"/>
        <v>2527.5100000000002</v>
      </c>
      <c r="AG62" s="34">
        <f t="shared" si="8"/>
        <v>4082.18</v>
      </c>
      <c r="AH62" s="34">
        <f t="shared" si="8"/>
        <v>1775.3100000000002</v>
      </c>
      <c r="AI62" s="34">
        <f t="shared" si="8"/>
        <v>1456.6899999999994</v>
      </c>
      <c r="AJ62" s="34">
        <f t="shared" ref="AJ62:BO62" si="9">(AJ46-AJ60)</f>
        <v>2071.9700000000003</v>
      </c>
      <c r="AK62" s="34">
        <f t="shared" si="9"/>
        <v>2702.17</v>
      </c>
      <c r="AL62" s="34">
        <f t="shared" si="9"/>
        <v>0</v>
      </c>
      <c r="AM62" s="34">
        <f t="shared" si="9"/>
        <v>3808.65</v>
      </c>
      <c r="AN62" s="34">
        <f t="shared" si="9"/>
        <v>1692.4099999999999</v>
      </c>
      <c r="AO62" s="34">
        <f t="shared" si="9"/>
        <v>2162.0600000000004</v>
      </c>
      <c r="AP62" s="34">
        <f t="shared" si="9"/>
        <v>2071.1099999999997</v>
      </c>
      <c r="AQ62" s="34">
        <f t="shared" si="9"/>
        <v>2885.059999999999</v>
      </c>
      <c r="AR62" s="34">
        <f t="shared" si="9"/>
        <v>1029.1100000000001</v>
      </c>
      <c r="AS62" s="34">
        <f t="shared" si="9"/>
        <v>2188.9099999999994</v>
      </c>
      <c r="AT62" s="34">
        <f t="shared" si="9"/>
        <v>1731.8400000000006</v>
      </c>
      <c r="AU62" s="34">
        <f t="shared" si="9"/>
        <v>1602.35</v>
      </c>
      <c r="AV62" s="34">
        <f t="shared" si="9"/>
        <v>3453.420000000001</v>
      </c>
      <c r="AW62" s="34">
        <f t="shared" si="9"/>
        <v>1822.32</v>
      </c>
      <c r="AX62" s="34">
        <f t="shared" si="9"/>
        <v>1508.4299999999998</v>
      </c>
      <c r="AY62" s="34">
        <f t="shared" si="9"/>
        <v>1581.09</v>
      </c>
      <c r="AZ62" s="34">
        <f t="shared" si="9"/>
        <v>1763.6999999999998</v>
      </c>
      <c r="BA62" s="34">
        <f t="shared" si="9"/>
        <v>2484.4699999999993</v>
      </c>
      <c r="BB62" s="34">
        <f t="shared" si="9"/>
        <v>1410.47</v>
      </c>
      <c r="BC62" s="34">
        <f t="shared" si="9"/>
        <v>1434.5599999999995</v>
      </c>
      <c r="BD62" s="34">
        <f t="shared" si="9"/>
        <v>1027.6599999999999</v>
      </c>
      <c r="BE62" s="34">
        <f t="shared" si="9"/>
        <v>2894.62</v>
      </c>
      <c r="BF62" s="34">
        <f t="shared" si="9"/>
        <v>0</v>
      </c>
      <c r="BG62" s="34">
        <f t="shared" si="9"/>
        <v>1742.0699999999993</v>
      </c>
      <c r="BH62" s="34">
        <f t="shared" si="9"/>
        <v>1972.06</v>
      </c>
      <c r="BI62" s="34">
        <f t="shared" si="9"/>
        <v>1271.3299999999995</v>
      </c>
      <c r="BJ62" s="34">
        <f t="shared" si="9"/>
        <v>2026.7600000000002</v>
      </c>
      <c r="BK62" s="34">
        <f t="shared" si="9"/>
        <v>2031.36</v>
      </c>
      <c r="BL62" s="34">
        <f t="shared" si="9"/>
        <v>2202.0299999999997</v>
      </c>
      <c r="BM62" s="34">
        <f t="shared" si="9"/>
        <v>2450.98</v>
      </c>
      <c r="BN62" s="34">
        <f t="shared" si="9"/>
        <v>1343.0299999999995</v>
      </c>
      <c r="BO62" s="34">
        <f t="shared" si="9"/>
        <v>1310.9099999999994</v>
      </c>
      <c r="BP62" s="34">
        <f t="shared" ref="BP62:CU62" si="10">(BP46-BP60)</f>
        <v>1463.3799999999997</v>
      </c>
      <c r="BQ62" s="34">
        <f t="shared" si="10"/>
        <v>1230.6399999999994</v>
      </c>
      <c r="BR62" s="34">
        <f t="shared" si="10"/>
        <v>1843.8400000000004</v>
      </c>
      <c r="BS62" s="34">
        <f t="shared" si="10"/>
        <v>2066.4900000000002</v>
      </c>
      <c r="BT62" s="34">
        <f t="shared" si="10"/>
        <v>3770.7799999999997</v>
      </c>
      <c r="BU62" s="34">
        <f t="shared" si="10"/>
        <v>1124.1499999999992</v>
      </c>
      <c r="BV62" s="34">
        <f t="shared" si="10"/>
        <v>1098.73</v>
      </c>
      <c r="BW62" s="34">
        <f t="shared" si="10"/>
        <v>1555.9500000000003</v>
      </c>
      <c r="BX62" s="34">
        <f t="shared" si="10"/>
        <v>1629.9499999999998</v>
      </c>
      <c r="BY62" s="34">
        <f t="shared" si="10"/>
        <v>1398.6000000000001</v>
      </c>
      <c r="BZ62" s="34">
        <f t="shared" si="10"/>
        <v>1471.3700000000001</v>
      </c>
      <c r="CA62" s="34">
        <f t="shared" si="10"/>
        <v>1862.83</v>
      </c>
      <c r="CB62" s="34">
        <f t="shared" si="10"/>
        <v>3153.4699999999993</v>
      </c>
      <c r="CC62" s="34">
        <f t="shared" si="10"/>
        <v>2491.5299999999997</v>
      </c>
      <c r="CD62" s="34">
        <f t="shared" si="10"/>
        <v>1422.5000000000002</v>
      </c>
      <c r="CE62" s="34">
        <f t="shared" si="10"/>
        <v>1401.1499999999992</v>
      </c>
      <c r="CF62" s="34">
        <f t="shared" si="10"/>
        <v>1726.6699999999996</v>
      </c>
      <c r="CG62" s="34">
        <f t="shared" si="10"/>
        <v>1416.2399999999993</v>
      </c>
      <c r="CH62" s="34">
        <f t="shared" si="10"/>
        <v>2603.4700000000003</v>
      </c>
      <c r="CI62" s="34">
        <f t="shared" si="10"/>
        <v>1694.98</v>
      </c>
      <c r="CJ62" s="34">
        <f t="shared" si="10"/>
        <v>1835.51</v>
      </c>
      <c r="CK62" s="34">
        <f t="shared" si="10"/>
        <v>1328.7299999999993</v>
      </c>
      <c r="CL62" s="34">
        <f t="shared" si="10"/>
        <v>1564.5899999999992</v>
      </c>
      <c r="CM62" s="34">
        <f t="shared" si="10"/>
        <v>1326.3499999999992</v>
      </c>
      <c r="CN62" s="34">
        <f t="shared" si="10"/>
        <v>1742.7</v>
      </c>
      <c r="CO62" s="34">
        <f t="shared" si="10"/>
        <v>1173.6000000000001</v>
      </c>
      <c r="CP62" s="34">
        <f t="shared" si="10"/>
        <v>1326.3499999999992</v>
      </c>
      <c r="CQ62" s="34">
        <f t="shared" si="10"/>
        <v>635.88</v>
      </c>
      <c r="CR62" s="34">
        <f t="shared" si="10"/>
        <v>1359.8699999999992</v>
      </c>
      <c r="CS62" s="34">
        <f t="shared" si="10"/>
        <v>1439.9799999999993</v>
      </c>
      <c r="CT62" s="34">
        <f t="shared" si="10"/>
        <v>1515.9599999999996</v>
      </c>
      <c r="CU62" s="34">
        <f t="shared" si="10"/>
        <v>1382.2499999999995</v>
      </c>
      <c r="CV62" s="34">
        <f t="shared" ref="CV62:DL62" si="11">(CV46-CV60)</f>
        <v>1271.5499999999995</v>
      </c>
      <c r="CW62" s="34">
        <f t="shared" si="11"/>
        <v>1580.8599999999994</v>
      </c>
      <c r="CX62" s="34">
        <f t="shared" si="11"/>
        <v>503.54999999999995</v>
      </c>
      <c r="CY62" s="34">
        <f t="shared" si="11"/>
        <v>1421.3199999999995</v>
      </c>
      <c r="CZ62" s="34">
        <f t="shared" si="11"/>
        <v>1016.8900000000001</v>
      </c>
      <c r="DA62" s="34">
        <f t="shared" si="11"/>
        <v>1493.67</v>
      </c>
      <c r="DB62" s="34">
        <f t="shared" si="11"/>
        <v>1384.8800000000003</v>
      </c>
      <c r="DC62" s="34">
        <f t="shared" si="11"/>
        <v>1472.2299999999996</v>
      </c>
      <c r="DD62" s="34">
        <f t="shared" si="11"/>
        <v>3739.4899999999989</v>
      </c>
      <c r="DE62" s="34">
        <f t="shared" si="11"/>
        <v>1107.1000000000001</v>
      </c>
      <c r="DF62" s="34">
        <f t="shared" si="11"/>
        <v>871.81000000000017</v>
      </c>
      <c r="DG62" s="34">
        <f t="shared" si="11"/>
        <v>1026.98</v>
      </c>
      <c r="DH62" s="34">
        <f t="shared" si="11"/>
        <v>896.37999999999988</v>
      </c>
      <c r="DI62" s="34">
        <f t="shared" si="11"/>
        <v>805.55000000000018</v>
      </c>
      <c r="DJ62" s="34">
        <f t="shared" si="11"/>
        <v>805.55000000000018</v>
      </c>
      <c r="DK62" s="34">
        <f t="shared" si="11"/>
        <v>580.87999999999988</v>
      </c>
      <c r="DL62" s="9">
        <f t="shared" si="11"/>
        <v>202.49</v>
      </c>
    </row>
    <row r="63" spans="1:116" ht="12" customHeight="1" x14ac:dyDescent="0.2">
      <c r="A63" s="15" t="s">
        <v>442</v>
      </c>
      <c r="B63" s="1"/>
      <c r="C63" s="16"/>
      <c r="D63" s="26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0</v>
      </c>
      <c r="AL63" s="34">
        <v>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34">
        <v>0</v>
      </c>
      <c r="AT63" s="34">
        <v>0</v>
      </c>
      <c r="AU63" s="34">
        <v>0</v>
      </c>
      <c r="AV63" s="34">
        <v>0</v>
      </c>
      <c r="AW63" s="34">
        <v>0</v>
      </c>
      <c r="AX63" s="34">
        <v>0</v>
      </c>
      <c r="AY63" s="34">
        <v>0</v>
      </c>
      <c r="AZ63" s="34">
        <v>0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0</v>
      </c>
      <c r="BN63" s="34">
        <v>0</v>
      </c>
      <c r="BO63" s="34">
        <v>0</v>
      </c>
      <c r="BP63" s="34">
        <v>0</v>
      </c>
      <c r="BQ63" s="34">
        <v>0</v>
      </c>
      <c r="BR63" s="34">
        <v>0</v>
      </c>
      <c r="BS63" s="34">
        <v>0</v>
      </c>
      <c r="BT63" s="34">
        <v>0</v>
      </c>
      <c r="BU63" s="34">
        <v>0</v>
      </c>
      <c r="BV63" s="34">
        <v>0</v>
      </c>
      <c r="BW63" s="34">
        <v>0</v>
      </c>
      <c r="BX63" s="34">
        <v>0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0</v>
      </c>
      <c r="CF63" s="34">
        <v>0</v>
      </c>
      <c r="CG63" s="34">
        <v>0</v>
      </c>
      <c r="CH63" s="34">
        <v>0</v>
      </c>
      <c r="CI63" s="34">
        <v>0</v>
      </c>
      <c r="CJ63" s="34">
        <v>0</v>
      </c>
      <c r="CK63" s="34">
        <v>0</v>
      </c>
      <c r="CL63" s="34">
        <v>0</v>
      </c>
      <c r="CM63" s="34">
        <v>0</v>
      </c>
      <c r="CN63" s="34">
        <v>0</v>
      </c>
      <c r="CO63" s="34">
        <v>0</v>
      </c>
      <c r="CP63" s="34">
        <v>0</v>
      </c>
      <c r="CQ63" s="34">
        <v>0</v>
      </c>
      <c r="CR63" s="34">
        <v>0</v>
      </c>
      <c r="CS63" s="34">
        <v>0</v>
      </c>
      <c r="CT63" s="34">
        <v>0</v>
      </c>
      <c r="CU63" s="34">
        <v>0</v>
      </c>
      <c r="CV63" s="34">
        <v>0</v>
      </c>
      <c r="CW63" s="34">
        <v>0</v>
      </c>
      <c r="CX63" s="34">
        <v>0</v>
      </c>
      <c r="CY63" s="34">
        <v>0</v>
      </c>
      <c r="CZ63" s="34">
        <v>0</v>
      </c>
      <c r="DA63" s="34">
        <v>0</v>
      </c>
      <c r="DB63" s="34">
        <v>0</v>
      </c>
      <c r="DC63" s="34">
        <v>0</v>
      </c>
      <c r="DD63" s="34">
        <v>0</v>
      </c>
      <c r="DE63" s="34">
        <v>0</v>
      </c>
      <c r="DF63" s="34">
        <v>0</v>
      </c>
      <c r="DG63" s="34">
        <v>0</v>
      </c>
      <c r="DH63" s="34">
        <v>0</v>
      </c>
      <c r="DI63" s="34">
        <v>0</v>
      </c>
      <c r="DJ63" s="34">
        <v>0</v>
      </c>
      <c r="DK63" s="34">
        <v>0</v>
      </c>
      <c r="DL63" s="9">
        <v>0</v>
      </c>
    </row>
    <row r="64" spans="1:116" ht="12" customHeight="1" x14ac:dyDescent="0.2">
      <c r="A64" s="15" t="s">
        <v>443</v>
      </c>
      <c r="B64" s="1"/>
      <c r="C64" s="16"/>
      <c r="D64" s="26">
        <v>675.15</v>
      </c>
      <c r="E64" s="34">
        <v>1116.5</v>
      </c>
      <c r="F64" s="34">
        <v>178.86</v>
      </c>
      <c r="G64" s="34">
        <v>701.79</v>
      </c>
      <c r="H64" s="34">
        <v>719.53</v>
      </c>
      <c r="I64" s="34">
        <v>421.98</v>
      </c>
      <c r="J64" s="34">
        <v>1107.78</v>
      </c>
      <c r="K64" s="34">
        <v>650.34</v>
      </c>
      <c r="L64" s="34">
        <v>997.02</v>
      </c>
      <c r="M64" s="34">
        <v>593.96</v>
      </c>
      <c r="N64" s="34">
        <v>703.06</v>
      </c>
      <c r="O64" s="34">
        <v>1236.95</v>
      </c>
      <c r="P64" s="34">
        <v>1183</v>
      </c>
      <c r="Q64" s="34">
        <v>637.15</v>
      </c>
      <c r="R64" s="34">
        <v>1728.97</v>
      </c>
      <c r="S64" s="34">
        <v>1138.92</v>
      </c>
      <c r="T64" s="34">
        <v>240.83</v>
      </c>
      <c r="U64" s="34">
        <v>925.7</v>
      </c>
      <c r="V64" s="34">
        <v>761.43</v>
      </c>
      <c r="W64" s="34">
        <v>633.19000000000005</v>
      </c>
      <c r="X64" s="34">
        <v>681.17</v>
      </c>
      <c r="Y64" s="34">
        <v>771.78</v>
      </c>
      <c r="Z64" s="34">
        <v>672.3</v>
      </c>
      <c r="AA64" s="34">
        <v>1061.32</v>
      </c>
      <c r="AB64" s="34">
        <v>826.48</v>
      </c>
      <c r="AC64" s="34">
        <v>865</v>
      </c>
      <c r="AD64" s="34">
        <v>594.26</v>
      </c>
      <c r="AE64" s="34">
        <v>949.73</v>
      </c>
      <c r="AF64" s="34">
        <v>0</v>
      </c>
      <c r="AG64" s="34">
        <v>0</v>
      </c>
      <c r="AH64" s="34">
        <v>697.22</v>
      </c>
      <c r="AI64" s="34">
        <v>579.03</v>
      </c>
      <c r="AJ64" s="34">
        <v>909.8</v>
      </c>
      <c r="AK64" s="34">
        <v>-614.23</v>
      </c>
      <c r="AL64" s="34">
        <v>635.67999999999995</v>
      </c>
      <c r="AM64" s="34">
        <v>1644.65</v>
      </c>
      <c r="AN64" s="34">
        <v>731.32</v>
      </c>
      <c r="AO64" s="34">
        <v>1170.6099999999999</v>
      </c>
      <c r="AP64" s="34">
        <v>851.97</v>
      </c>
      <c r="AQ64" s="34">
        <v>1199.9000000000001</v>
      </c>
      <c r="AR64" s="34">
        <v>623.9</v>
      </c>
      <c r="AS64" s="34">
        <v>937.7</v>
      </c>
      <c r="AT64" s="34">
        <v>707.3</v>
      </c>
      <c r="AU64" s="34">
        <v>709.7</v>
      </c>
      <c r="AV64" s="34">
        <v>1690</v>
      </c>
      <c r="AW64" s="34">
        <v>777.4</v>
      </c>
      <c r="AX64" s="34">
        <v>473.55</v>
      </c>
      <c r="AY64" s="34">
        <v>718</v>
      </c>
      <c r="AZ64" s="34">
        <v>767.79</v>
      </c>
      <c r="BA64" s="34">
        <v>1051.81</v>
      </c>
      <c r="BB64" s="34">
        <v>-908.24</v>
      </c>
      <c r="BC64" s="34">
        <v>594.87</v>
      </c>
      <c r="BD64" s="34">
        <v>134.18</v>
      </c>
      <c r="BE64" s="34">
        <v>1280.71</v>
      </c>
      <c r="BF64" s="34">
        <v>711.33</v>
      </c>
      <c r="BG64" s="34">
        <v>759.07</v>
      </c>
      <c r="BH64" s="34">
        <v>833.74</v>
      </c>
      <c r="BI64" s="34">
        <v>492.09</v>
      </c>
      <c r="BJ64" s="34">
        <v>926.74</v>
      </c>
      <c r="BK64" s="34">
        <v>901.33</v>
      </c>
      <c r="BL64" s="34">
        <v>992.39</v>
      </c>
      <c r="BM64" s="34">
        <v>1126.6600000000001</v>
      </c>
      <c r="BN64" s="34">
        <v>501.04</v>
      </c>
      <c r="BO64" s="34">
        <v>492.09</v>
      </c>
      <c r="BP64" s="34">
        <v>599.45000000000005</v>
      </c>
      <c r="BQ64" s="34">
        <v>591.29</v>
      </c>
      <c r="BR64" s="34">
        <v>788.66</v>
      </c>
      <c r="BS64" s="34">
        <v>891.19</v>
      </c>
      <c r="BT64" s="34">
        <v>1727.23</v>
      </c>
      <c r="BU64" s="34">
        <v>587.52</v>
      </c>
      <c r="BV64" s="34">
        <v>622.08000000000004</v>
      </c>
      <c r="BW64" s="34">
        <v>700.3</v>
      </c>
      <c r="BX64" s="34">
        <v>783.82</v>
      </c>
      <c r="BY64" s="34">
        <v>574.89</v>
      </c>
      <c r="BZ64" s="34">
        <v>618</v>
      </c>
      <c r="CA64" s="34">
        <v>845</v>
      </c>
      <c r="CB64" s="34">
        <v>1464.67</v>
      </c>
      <c r="CC64" s="34">
        <v>1155.96</v>
      </c>
      <c r="CD64" s="34">
        <v>589.57000000000005</v>
      </c>
      <c r="CE64" s="34">
        <v>574.89</v>
      </c>
      <c r="CF64" s="34">
        <v>760.5</v>
      </c>
      <c r="CG64" s="34">
        <v>608.45000000000005</v>
      </c>
      <c r="CH64" s="34">
        <v>1267.5</v>
      </c>
      <c r="CI64" s="34">
        <v>732.33</v>
      </c>
      <c r="CJ64" s="34">
        <v>804.33</v>
      </c>
      <c r="CK64" s="34">
        <v>529.63</v>
      </c>
      <c r="CL64" s="34">
        <v>596.69000000000005</v>
      </c>
      <c r="CM64" s="34">
        <v>528.14</v>
      </c>
      <c r="CN64" s="34">
        <v>755.35</v>
      </c>
      <c r="CO64" s="34">
        <v>98.43</v>
      </c>
      <c r="CP64" s="34">
        <v>528.14</v>
      </c>
      <c r="CQ64" s="34">
        <v>10.51</v>
      </c>
      <c r="CR64" s="34">
        <v>117.12</v>
      </c>
      <c r="CS64" s="34">
        <v>539.26</v>
      </c>
      <c r="CT64" s="34">
        <v>712.26</v>
      </c>
      <c r="CU64" s="34">
        <v>604.14</v>
      </c>
      <c r="CV64" s="34">
        <v>492.93</v>
      </c>
      <c r="CW64" s="34">
        <v>669.77</v>
      </c>
      <c r="CX64" s="34">
        <v>10.51</v>
      </c>
      <c r="CY64" s="34">
        <v>531.52</v>
      </c>
      <c r="CZ64" s="34">
        <v>374.81</v>
      </c>
      <c r="DA64" s="34">
        <v>605.63</v>
      </c>
      <c r="DB64" s="34">
        <v>559.87</v>
      </c>
      <c r="DC64" s="34">
        <v>619.66</v>
      </c>
      <c r="DD64" s="34">
        <v>1727.23</v>
      </c>
      <c r="DE64" s="34">
        <v>459.74</v>
      </c>
      <c r="DF64" s="34">
        <v>342.61</v>
      </c>
      <c r="DG64" s="34">
        <v>421.43</v>
      </c>
      <c r="DH64" s="34">
        <v>352.16</v>
      </c>
      <c r="DI64" s="34">
        <v>314.95</v>
      </c>
      <c r="DJ64" s="34">
        <v>314.95</v>
      </c>
      <c r="DK64" s="34">
        <v>269.08999999999997</v>
      </c>
      <c r="DL64" s="9">
        <v>90.38</v>
      </c>
    </row>
    <row r="65" spans="1:116" ht="12" customHeight="1" x14ac:dyDescent="0.2">
      <c r="A65" s="15" t="s">
        <v>444</v>
      </c>
      <c r="B65" s="1"/>
      <c r="C65" s="16"/>
      <c r="D65" s="26">
        <v>136.5</v>
      </c>
      <c r="E65" s="34">
        <v>214.7</v>
      </c>
      <c r="F65" s="34">
        <v>132.47999999999999</v>
      </c>
      <c r="G65" s="34">
        <v>134.96</v>
      </c>
      <c r="H65" s="34">
        <v>138.37</v>
      </c>
      <c r="I65" s="34">
        <v>85.31</v>
      </c>
      <c r="J65" s="34">
        <v>192.79</v>
      </c>
      <c r="K65" s="34">
        <v>141.34</v>
      </c>
      <c r="L65" s="34">
        <v>191.73</v>
      </c>
      <c r="M65" s="34">
        <v>114.23</v>
      </c>
      <c r="N65" s="34">
        <v>135.19999999999999</v>
      </c>
      <c r="O65" s="34">
        <v>237.87</v>
      </c>
      <c r="P65" s="34">
        <v>227.5</v>
      </c>
      <c r="Q65" s="34">
        <v>122.54</v>
      </c>
      <c r="R65" s="34">
        <v>332.53</v>
      </c>
      <c r="S65" s="34">
        <v>219.02</v>
      </c>
      <c r="T65" s="34">
        <v>46.31</v>
      </c>
      <c r="U65" s="34">
        <v>178.02</v>
      </c>
      <c r="V65" s="34">
        <v>153.94</v>
      </c>
      <c r="W65" s="34">
        <v>121.77</v>
      </c>
      <c r="X65" s="34">
        <v>131</v>
      </c>
      <c r="Y65" s="34">
        <v>148.41999999999999</v>
      </c>
      <c r="Z65" s="34">
        <v>117</v>
      </c>
      <c r="AA65" s="34">
        <v>204.1</v>
      </c>
      <c r="AB65" s="34">
        <v>114.99</v>
      </c>
      <c r="AC65" s="34">
        <v>150.55000000000001</v>
      </c>
      <c r="AD65" s="34">
        <v>114.28</v>
      </c>
      <c r="AE65" s="34">
        <v>165.27</v>
      </c>
      <c r="AF65" s="34">
        <v>0</v>
      </c>
      <c r="AG65" s="34">
        <v>0</v>
      </c>
      <c r="AH65" s="34">
        <v>134.07</v>
      </c>
      <c r="AI65" s="34">
        <v>117.07</v>
      </c>
      <c r="AJ65" s="34">
        <v>174.96</v>
      </c>
      <c r="AK65" s="34">
        <v>235.63</v>
      </c>
      <c r="AL65" s="34">
        <v>0</v>
      </c>
      <c r="AM65" s="34">
        <v>332.5</v>
      </c>
      <c r="AN65" s="34">
        <v>140.63999999999999</v>
      </c>
      <c r="AO65" s="34">
        <v>225.11</v>
      </c>
      <c r="AP65" s="34">
        <v>172.26</v>
      </c>
      <c r="AQ65" s="34">
        <v>230.76</v>
      </c>
      <c r="AR65" s="34">
        <v>79.62</v>
      </c>
      <c r="AS65" s="34">
        <v>189.58</v>
      </c>
      <c r="AT65" s="34">
        <v>143</v>
      </c>
      <c r="AU65" s="34">
        <v>136.49</v>
      </c>
      <c r="AV65" s="34">
        <v>325</v>
      </c>
      <c r="AW65" s="34">
        <v>149.5</v>
      </c>
      <c r="AX65" s="34">
        <v>117.12</v>
      </c>
      <c r="AY65" s="34">
        <v>138.08000000000001</v>
      </c>
      <c r="AZ65" s="34">
        <v>147.66</v>
      </c>
      <c r="BA65" s="34">
        <v>202.27</v>
      </c>
      <c r="BB65" s="34">
        <v>163.05000000000001</v>
      </c>
      <c r="BC65" s="34">
        <v>114.4</v>
      </c>
      <c r="BD65" s="34">
        <v>26.37</v>
      </c>
      <c r="BE65" s="34">
        <v>246.29</v>
      </c>
      <c r="BF65" s="34">
        <v>0</v>
      </c>
      <c r="BG65" s="34">
        <v>145.97999999999999</v>
      </c>
      <c r="BH65" s="34">
        <v>160.33000000000001</v>
      </c>
      <c r="BI65" s="34">
        <v>94.64</v>
      </c>
      <c r="BJ65" s="34">
        <v>178.22</v>
      </c>
      <c r="BK65" s="34">
        <v>173.33</v>
      </c>
      <c r="BL65" s="34">
        <v>190.85</v>
      </c>
      <c r="BM65" s="34">
        <v>216.67</v>
      </c>
      <c r="BN65" s="34">
        <v>96.35</v>
      </c>
      <c r="BO65" s="34">
        <v>94.64</v>
      </c>
      <c r="BP65" s="34">
        <v>142.38</v>
      </c>
      <c r="BQ65" s="34">
        <v>113.7</v>
      </c>
      <c r="BR65" s="34">
        <v>151.66999999999999</v>
      </c>
      <c r="BS65" s="34">
        <v>171.39</v>
      </c>
      <c r="BT65" s="34">
        <v>332.18</v>
      </c>
      <c r="BU65" s="34">
        <v>112.99</v>
      </c>
      <c r="BV65" s="34">
        <v>78.819999999999993</v>
      </c>
      <c r="BW65" s="34">
        <v>134.68</v>
      </c>
      <c r="BX65" s="34">
        <v>136.41</v>
      </c>
      <c r="BY65" s="34">
        <v>110.55</v>
      </c>
      <c r="BZ65" s="34">
        <v>118.84</v>
      </c>
      <c r="CA65" s="34">
        <v>162.5</v>
      </c>
      <c r="CB65" s="34">
        <v>281.67</v>
      </c>
      <c r="CC65" s="34">
        <v>222.3</v>
      </c>
      <c r="CD65" s="34">
        <v>113.38</v>
      </c>
      <c r="CE65" s="34">
        <v>110.55</v>
      </c>
      <c r="CF65" s="34">
        <v>146.26</v>
      </c>
      <c r="CG65" s="34">
        <v>117.01</v>
      </c>
      <c r="CH65" s="34">
        <v>243.76</v>
      </c>
      <c r="CI65" s="34">
        <v>140.83000000000001</v>
      </c>
      <c r="CJ65" s="34">
        <v>154.69</v>
      </c>
      <c r="CK65" s="34">
        <v>101.86</v>
      </c>
      <c r="CL65" s="34">
        <v>114.75</v>
      </c>
      <c r="CM65" s="34">
        <v>101.56</v>
      </c>
      <c r="CN65" s="34">
        <v>145.25</v>
      </c>
      <c r="CO65" s="34">
        <v>101.55</v>
      </c>
      <c r="CP65" s="34">
        <v>101.56</v>
      </c>
      <c r="CQ65" s="34">
        <v>0.56000000000000005</v>
      </c>
      <c r="CR65" s="34">
        <v>94.64</v>
      </c>
      <c r="CS65" s="34">
        <v>103.71</v>
      </c>
      <c r="CT65" s="34">
        <v>136.97</v>
      </c>
      <c r="CU65" s="34">
        <v>116.18</v>
      </c>
      <c r="CV65" s="34">
        <v>94.79</v>
      </c>
      <c r="CW65" s="34">
        <v>128.81</v>
      </c>
      <c r="CX65" s="34">
        <v>0.56000000000000005</v>
      </c>
      <c r="CY65" s="34">
        <v>102.21</v>
      </c>
      <c r="CZ65" s="34">
        <v>72.08</v>
      </c>
      <c r="DA65" s="34">
        <v>116.46</v>
      </c>
      <c r="DB65" s="34">
        <v>107.66</v>
      </c>
      <c r="DC65" s="34">
        <v>119.17</v>
      </c>
      <c r="DD65" s="34">
        <v>332.18</v>
      </c>
      <c r="DE65" s="34">
        <v>88.41</v>
      </c>
      <c r="DF65" s="34">
        <v>65.88</v>
      </c>
      <c r="DG65" s="34">
        <v>81.05</v>
      </c>
      <c r="DH65" s="34">
        <v>67.72</v>
      </c>
      <c r="DI65" s="34">
        <v>60.57</v>
      </c>
      <c r="DJ65" s="34">
        <v>60.57</v>
      </c>
      <c r="DK65" s="34">
        <v>46.83</v>
      </c>
      <c r="DL65" s="9">
        <v>17.38</v>
      </c>
    </row>
    <row r="66" spans="1:116" ht="12" customHeight="1" x14ac:dyDescent="0.2">
      <c r="A66" s="15" t="s">
        <v>445</v>
      </c>
      <c r="B66" s="1"/>
      <c r="C66" s="16"/>
      <c r="D66" s="26">
        <v>811.65</v>
      </c>
      <c r="E66" s="34">
        <v>1331.2</v>
      </c>
      <c r="F66" s="34">
        <v>311.33999999999997</v>
      </c>
      <c r="G66" s="34">
        <v>836.75</v>
      </c>
      <c r="H66" s="34">
        <v>857.9</v>
      </c>
      <c r="I66" s="34">
        <v>507.29</v>
      </c>
      <c r="J66" s="34">
        <v>1300.57</v>
      </c>
      <c r="K66" s="34">
        <v>791.68</v>
      </c>
      <c r="L66" s="34">
        <v>1188.75</v>
      </c>
      <c r="M66" s="34">
        <v>708.19</v>
      </c>
      <c r="N66" s="34">
        <v>838.26</v>
      </c>
      <c r="O66" s="34">
        <v>1474.82</v>
      </c>
      <c r="P66" s="34">
        <v>1410.5</v>
      </c>
      <c r="Q66" s="34">
        <v>759.69</v>
      </c>
      <c r="R66" s="34">
        <v>2061.5</v>
      </c>
      <c r="S66" s="34">
        <v>1357.94</v>
      </c>
      <c r="T66" s="34">
        <v>287.14</v>
      </c>
      <c r="U66" s="34">
        <v>1103.72</v>
      </c>
      <c r="V66" s="34">
        <v>915.37</v>
      </c>
      <c r="W66" s="34">
        <v>754.96</v>
      </c>
      <c r="X66" s="34">
        <v>812.17</v>
      </c>
      <c r="Y66" s="34">
        <v>920.2</v>
      </c>
      <c r="Z66" s="34">
        <v>789.3</v>
      </c>
      <c r="AA66" s="34">
        <v>1265.42</v>
      </c>
      <c r="AB66" s="34">
        <v>941.47</v>
      </c>
      <c r="AC66" s="34">
        <v>1015.55</v>
      </c>
      <c r="AD66" s="34">
        <v>708.54</v>
      </c>
      <c r="AE66" s="34">
        <v>1115</v>
      </c>
      <c r="AF66" s="34">
        <v>0</v>
      </c>
      <c r="AG66" s="34">
        <v>0</v>
      </c>
      <c r="AH66" s="34">
        <v>831.29</v>
      </c>
      <c r="AI66" s="34">
        <v>696.1</v>
      </c>
      <c r="AJ66" s="34">
        <v>1084.76</v>
      </c>
      <c r="AK66" s="34">
        <v>-378.6</v>
      </c>
      <c r="AL66" s="34">
        <v>635.67999999999995</v>
      </c>
      <c r="AM66" s="34">
        <v>1977.15</v>
      </c>
      <c r="AN66" s="34">
        <v>871.96</v>
      </c>
      <c r="AO66" s="34">
        <v>1395.72</v>
      </c>
      <c r="AP66" s="34">
        <v>1024.23</v>
      </c>
      <c r="AQ66" s="34">
        <v>1430.66</v>
      </c>
      <c r="AR66" s="34">
        <v>703.52</v>
      </c>
      <c r="AS66" s="34">
        <v>1127.28</v>
      </c>
      <c r="AT66" s="34">
        <v>850.3</v>
      </c>
      <c r="AU66" s="34">
        <v>846.19</v>
      </c>
      <c r="AV66" s="34">
        <v>2015</v>
      </c>
      <c r="AW66" s="34">
        <v>926.9</v>
      </c>
      <c r="AX66" s="34">
        <v>590.66999999999996</v>
      </c>
      <c r="AY66" s="34">
        <v>856.08</v>
      </c>
      <c r="AZ66" s="34">
        <v>915.45</v>
      </c>
      <c r="BA66" s="34">
        <v>1254.08</v>
      </c>
      <c r="BB66" s="34">
        <v>-745.19</v>
      </c>
      <c r="BC66" s="34">
        <v>709.27</v>
      </c>
      <c r="BD66" s="34">
        <v>160.55000000000001</v>
      </c>
      <c r="BE66" s="34">
        <v>1527</v>
      </c>
      <c r="BF66" s="34">
        <v>711.33</v>
      </c>
      <c r="BG66" s="34">
        <v>905.05</v>
      </c>
      <c r="BH66" s="34">
        <v>994.07</v>
      </c>
      <c r="BI66" s="34">
        <v>586.73</v>
      </c>
      <c r="BJ66" s="34">
        <v>1104.96</v>
      </c>
      <c r="BK66" s="34">
        <v>1074.6600000000001</v>
      </c>
      <c r="BL66" s="34">
        <v>1183.24</v>
      </c>
      <c r="BM66" s="34">
        <v>1343.33</v>
      </c>
      <c r="BN66" s="34">
        <v>597.39</v>
      </c>
      <c r="BO66" s="34">
        <v>586.73</v>
      </c>
      <c r="BP66" s="34">
        <v>741.83</v>
      </c>
      <c r="BQ66" s="34">
        <v>704.99</v>
      </c>
      <c r="BR66" s="34">
        <v>940.33</v>
      </c>
      <c r="BS66" s="34">
        <v>1062.58</v>
      </c>
      <c r="BT66" s="34">
        <v>2059.41</v>
      </c>
      <c r="BU66" s="34">
        <v>700.51</v>
      </c>
      <c r="BV66" s="34">
        <v>700.9</v>
      </c>
      <c r="BW66" s="34">
        <v>834.98</v>
      </c>
      <c r="BX66" s="34">
        <v>920.23</v>
      </c>
      <c r="BY66" s="34">
        <v>685.44</v>
      </c>
      <c r="BZ66" s="34">
        <v>736.84</v>
      </c>
      <c r="CA66" s="34">
        <v>1007.5</v>
      </c>
      <c r="CB66" s="34">
        <v>1746.34</v>
      </c>
      <c r="CC66" s="34">
        <v>1378.26</v>
      </c>
      <c r="CD66" s="34">
        <v>702.95</v>
      </c>
      <c r="CE66" s="34">
        <v>685.44</v>
      </c>
      <c r="CF66" s="34">
        <v>906.76</v>
      </c>
      <c r="CG66" s="34">
        <v>725.46</v>
      </c>
      <c r="CH66" s="34">
        <v>1511.26</v>
      </c>
      <c r="CI66" s="34">
        <v>873.16</v>
      </c>
      <c r="CJ66" s="34">
        <v>959.02</v>
      </c>
      <c r="CK66" s="34">
        <v>631.49</v>
      </c>
      <c r="CL66" s="34">
        <v>711.44</v>
      </c>
      <c r="CM66" s="34">
        <v>629.70000000000005</v>
      </c>
      <c r="CN66" s="34">
        <v>900.6</v>
      </c>
      <c r="CO66" s="34">
        <v>199.98</v>
      </c>
      <c r="CP66" s="34">
        <v>629.70000000000005</v>
      </c>
      <c r="CQ66" s="34">
        <v>11.07</v>
      </c>
      <c r="CR66" s="34">
        <v>211.76</v>
      </c>
      <c r="CS66" s="34">
        <v>642.97</v>
      </c>
      <c r="CT66" s="34">
        <v>849.23</v>
      </c>
      <c r="CU66" s="34">
        <v>720.32</v>
      </c>
      <c r="CV66" s="34">
        <v>587.72</v>
      </c>
      <c r="CW66" s="34">
        <v>798.58</v>
      </c>
      <c r="CX66" s="34">
        <v>11.07</v>
      </c>
      <c r="CY66" s="34">
        <v>633.73</v>
      </c>
      <c r="CZ66" s="34">
        <v>446.89</v>
      </c>
      <c r="DA66" s="34">
        <v>722.09</v>
      </c>
      <c r="DB66" s="34">
        <v>667.53</v>
      </c>
      <c r="DC66" s="34">
        <v>738.83</v>
      </c>
      <c r="DD66" s="34">
        <v>2059.41</v>
      </c>
      <c r="DE66" s="34">
        <v>548.15</v>
      </c>
      <c r="DF66" s="34">
        <v>408.49</v>
      </c>
      <c r="DG66" s="34">
        <v>502.48</v>
      </c>
      <c r="DH66" s="34">
        <v>419.88</v>
      </c>
      <c r="DI66" s="34">
        <v>375.52</v>
      </c>
      <c r="DJ66" s="34">
        <v>375.52</v>
      </c>
      <c r="DK66" s="34">
        <v>315.92</v>
      </c>
      <c r="DL66" s="9">
        <v>107.76</v>
      </c>
    </row>
    <row r="67" spans="1:116" ht="12" customHeight="1" x14ac:dyDescent="0.2">
      <c r="A67" s="15" t="s">
        <v>446</v>
      </c>
      <c r="B67" s="1"/>
      <c r="C67" s="16"/>
      <c r="D67" s="26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0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0</v>
      </c>
      <c r="BN67" s="34">
        <v>0</v>
      </c>
      <c r="BO67" s="34">
        <v>0</v>
      </c>
      <c r="BP67" s="34">
        <v>0</v>
      </c>
      <c r="BQ67" s="34">
        <v>0</v>
      </c>
      <c r="BR67" s="34">
        <v>0</v>
      </c>
      <c r="BS67" s="34">
        <v>0</v>
      </c>
      <c r="BT67" s="34">
        <v>0</v>
      </c>
      <c r="BU67" s="34">
        <v>0</v>
      </c>
      <c r="BV67" s="34">
        <v>0</v>
      </c>
      <c r="BW67" s="34">
        <v>0</v>
      </c>
      <c r="BX67" s="34">
        <v>0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0</v>
      </c>
      <c r="CF67" s="34">
        <v>0</v>
      </c>
      <c r="CG67" s="34">
        <v>0</v>
      </c>
      <c r="CH67" s="34">
        <v>0</v>
      </c>
      <c r="CI67" s="34">
        <v>0</v>
      </c>
      <c r="CJ67" s="34">
        <v>0</v>
      </c>
      <c r="CK67" s="34">
        <v>0</v>
      </c>
      <c r="CL67" s="34">
        <v>0</v>
      </c>
      <c r="CM67" s="34">
        <v>0</v>
      </c>
      <c r="CN67" s="34">
        <v>0</v>
      </c>
      <c r="CO67" s="34">
        <v>0</v>
      </c>
      <c r="CP67" s="34">
        <v>0</v>
      </c>
      <c r="CQ67" s="34">
        <v>0</v>
      </c>
      <c r="CR67" s="34">
        <v>0</v>
      </c>
      <c r="CS67" s="34">
        <v>0</v>
      </c>
      <c r="CT67" s="34">
        <v>0</v>
      </c>
      <c r="CU67" s="34">
        <v>0</v>
      </c>
      <c r="CV67" s="34">
        <v>0</v>
      </c>
      <c r="CW67" s="34">
        <v>0</v>
      </c>
      <c r="CX67" s="34">
        <v>0</v>
      </c>
      <c r="CY67" s="34">
        <v>0</v>
      </c>
      <c r="CZ67" s="34">
        <v>0</v>
      </c>
      <c r="DA67" s="34">
        <v>0</v>
      </c>
      <c r="DB67" s="34">
        <v>0</v>
      </c>
      <c r="DC67" s="34">
        <v>0</v>
      </c>
      <c r="DD67" s="34">
        <v>0</v>
      </c>
      <c r="DE67" s="34">
        <v>0</v>
      </c>
      <c r="DF67" s="34">
        <v>0</v>
      </c>
      <c r="DG67" s="34">
        <v>0</v>
      </c>
      <c r="DH67" s="34">
        <v>0</v>
      </c>
      <c r="DI67" s="34">
        <v>0</v>
      </c>
      <c r="DJ67" s="34">
        <v>0</v>
      </c>
      <c r="DK67" s="34">
        <v>0</v>
      </c>
      <c r="DL67" s="9">
        <v>0</v>
      </c>
    </row>
    <row r="68" spans="1:116" ht="12" customHeight="1" x14ac:dyDescent="0.2">
      <c r="A68" s="15" t="s">
        <v>447</v>
      </c>
      <c r="B68" s="1"/>
      <c r="C68" s="16"/>
      <c r="D68" s="26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34">
        <v>0</v>
      </c>
      <c r="AY68" s="34">
        <v>0</v>
      </c>
      <c r="AZ68" s="34">
        <v>0</v>
      </c>
      <c r="BA68" s="34">
        <v>0</v>
      </c>
      <c r="BB68" s="34">
        <v>0</v>
      </c>
      <c r="BC68" s="34">
        <v>0</v>
      </c>
      <c r="BD68" s="34">
        <v>0</v>
      </c>
      <c r="BE68" s="34">
        <v>0</v>
      </c>
      <c r="BF68" s="34">
        <v>0</v>
      </c>
      <c r="BG68" s="34">
        <v>0</v>
      </c>
      <c r="BH68" s="34">
        <v>0</v>
      </c>
      <c r="BI68" s="34">
        <v>0</v>
      </c>
      <c r="BJ68" s="34">
        <v>0</v>
      </c>
      <c r="BK68" s="34">
        <v>0</v>
      </c>
      <c r="BL68" s="34">
        <v>0</v>
      </c>
      <c r="BM68" s="34">
        <v>0</v>
      </c>
      <c r="BN68" s="34">
        <v>0</v>
      </c>
      <c r="BO68" s="34">
        <v>0</v>
      </c>
      <c r="BP68" s="34">
        <v>0</v>
      </c>
      <c r="BQ68" s="34">
        <v>0</v>
      </c>
      <c r="BR68" s="34">
        <v>0</v>
      </c>
      <c r="BS68" s="34">
        <v>0</v>
      </c>
      <c r="BT68" s="34">
        <v>0</v>
      </c>
      <c r="BU68" s="34">
        <v>0</v>
      </c>
      <c r="BV68" s="34">
        <v>0</v>
      </c>
      <c r="BW68" s="34">
        <v>0</v>
      </c>
      <c r="BX68" s="34">
        <v>0</v>
      </c>
      <c r="BY68" s="34">
        <v>0</v>
      </c>
      <c r="BZ68" s="34">
        <v>0</v>
      </c>
      <c r="CA68" s="34">
        <v>0</v>
      </c>
      <c r="CB68" s="34">
        <v>0</v>
      </c>
      <c r="CC68" s="34">
        <v>0</v>
      </c>
      <c r="CD68" s="34">
        <v>0</v>
      </c>
      <c r="CE68" s="34">
        <v>0</v>
      </c>
      <c r="CF68" s="34">
        <v>0</v>
      </c>
      <c r="CG68" s="34">
        <v>0</v>
      </c>
      <c r="CH68" s="34">
        <v>0</v>
      </c>
      <c r="CI68" s="34">
        <v>0</v>
      </c>
      <c r="CJ68" s="34">
        <v>0</v>
      </c>
      <c r="CK68" s="34">
        <v>0</v>
      </c>
      <c r="CL68" s="34">
        <v>0</v>
      </c>
      <c r="CM68" s="34">
        <v>0</v>
      </c>
      <c r="CN68" s="34">
        <v>0</v>
      </c>
      <c r="CO68" s="34">
        <v>0</v>
      </c>
      <c r="CP68" s="34">
        <v>0</v>
      </c>
      <c r="CQ68" s="34">
        <v>0</v>
      </c>
      <c r="CR68" s="34">
        <v>0</v>
      </c>
      <c r="CS68" s="34">
        <v>0</v>
      </c>
      <c r="CT68" s="34">
        <v>0</v>
      </c>
      <c r="CU68" s="34">
        <v>0</v>
      </c>
      <c r="CV68" s="34">
        <v>0</v>
      </c>
      <c r="CW68" s="34">
        <v>0</v>
      </c>
      <c r="CX68" s="34">
        <v>0</v>
      </c>
      <c r="CY68" s="34">
        <v>0</v>
      </c>
      <c r="CZ68" s="34">
        <v>0</v>
      </c>
      <c r="DA68" s="34">
        <v>0</v>
      </c>
      <c r="DB68" s="34">
        <v>0</v>
      </c>
      <c r="DC68" s="34">
        <v>0</v>
      </c>
      <c r="DD68" s="34">
        <v>0</v>
      </c>
      <c r="DE68" s="34">
        <v>0</v>
      </c>
      <c r="DF68" s="34">
        <v>0</v>
      </c>
      <c r="DG68" s="34">
        <v>0</v>
      </c>
      <c r="DH68" s="34">
        <v>0</v>
      </c>
      <c r="DI68" s="34">
        <v>0</v>
      </c>
      <c r="DJ68" s="34">
        <v>0</v>
      </c>
      <c r="DK68" s="34">
        <v>0</v>
      </c>
      <c r="DL68" s="9">
        <v>0</v>
      </c>
    </row>
    <row r="69" spans="1:116" ht="12" customHeight="1" x14ac:dyDescent="0.2">
      <c r="A69" s="15" t="s">
        <v>448</v>
      </c>
      <c r="B69" s="1"/>
      <c r="C69" s="16"/>
      <c r="D69" s="26">
        <f t="shared" ref="D69:AI69" si="12">D46+D64</f>
        <v>2775.15</v>
      </c>
      <c r="E69" s="34">
        <f t="shared" si="12"/>
        <v>4419.7</v>
      </c>
      <c r="F69" s="34">
        <f t="shared" si="12"/>
        <v>2178.8700000000003</v>
      </c>
      <c r="G69" s="34">
        <f t="shared" si="12"/>
        <v>2778.08</v>
      </c>
      <c r="H69" s="34">
        <f t="shared" si="12"/>
        <v>2848.3100000000004</v>
      </c>
      <c r="I69" s="34">
        <f t="shared" si="12"/>
        <v>1734.48</v>
      </c>
      <c r="J69" s="34">
        <f t="shared" si="12"/>
        <v>4073.74</v>
      </c>
      <c r="K69" s="34">
        <f t="shared" si="12"/>
        <v>2553.0500000000002</v>
      </c>
      <c r="L69" s="34">
        <f t="shared" si="12"/>
        <v>3946.7400000000002</v>
      </c>
      <c r="M69" s="34">
        <f t="shared" si="12"/>
        <v>2087.58</v>
      </c>
      <c r="N69" s="34">
        <f t="shared" si="12"/>
        <v>2783.12</v>
      </c>
      <c r="O69" s="34">
        <f t="shared" si="12"/>
        <v>4896.55</v>
      </c>
      <c r="P69" s="34">
        <f t="shared" si="12"/>
        <v>4683</v>
      </c>
      <c r="Q69" s="34">
        <f t="shared" si="12"/>
        <v>2522.2199999999998</v>
      </c>
      <c r="R69" s="34">
        <f t="shared" si="12"/>
        <v>7327.7</v>
      </c>
      <c r="S69" s="34">
        <f t="shared" si="12"/>
        <v>4508.4799999999996</v>
      </c>
      <c r="T69" s="34">
        <f t="shared" si="12"/>
        <v>953.33</v>
      </c>
      <c r="U69" s="34">
        <f t="shared" si="12"/>
        <v>3664.4700000000003</v>
      </c>
      <c r="V69" s="34">
        <f t="shared" si="12"/>
        <v>3129.76</v>
      </c>
      <c r="W69" s="34">
        <f t="shared" si="12"/>
        <v>2506.5399999999995</v>
      </c>
      <c r="X69" s="34">
        <f t="shared" si="12"/>
        <v>2696.46</v>
      </c>
      <c r="Y69" s="34">
        <f t="shared" si="12"/>
        <v>3055.12</v>
      </c>
      <c r="Z69" s="34">
        <f t="shared" si="12"/>
        <v>2472.3000000000002</v>
      </c>
      <c r="AA69" s="34">
        <f t="shared" si="12"/>
        <v>4201.32</v>
      </c>
      <c r="AB69" s="34">
        <f t="shared" si="12"/>
        <v>2595.62</v>
      </c>
      <c r="AC69" s="34">
        <f t="shared" si="12"/>
        <v>2841.71</v>
      </c>
      <c r="AD69" s="34">
        <f t="shared" si="12"/>
        <v>2352.4300000000003</v>
      </c>
      <c r="AE69" s="34">
        <f t="shared" si="12"/>
        <v>3492.5</v>
      </c>
      <c r="AF69" s="34">
        <f t="shared" si="12"/>
        <v>3268.9</v>
      </c>
      <c r="AG69" s="34">
        <f t="shared" si="12"/>
        <v>5921.03</v>
      </c>
      <c r="AH69" s="34">
        <f t="shared" si="12"/>
        <v>2759.96</v>
      </c>
      <c r="AI69" s="34">
        <f t="shared" si="12"/>
        <v>2405.0599999999995</v>
      </c>
      <c r="AJ69" s="34">
        <f t="shared" ref="AJ69:BO69" si="13">AJ46+AJ64</f>
        <v>3601.51</v>
      </c>
      <c r="AK69" s="34">
        <f t="shared" si="13"/>
        <v>2890.79</v>
      </c>
      <c r="AL69" s="34">
        <f t="shared" si="13"/>
        <v>635.67999999999995</v>
      </c>
      <c r="AM69" s="34">
        <f t="shared" si="13"/>
        <v>7227.99</v>
      </c>
      <c r="AN69" s="34">
        <f t="shared" si="13"/>
        <v>2894.98</v>
      </c>
      <c r="AO69" s="34">
        <f t="shared" si="13"/>
        <v>4633.93</v>
      </c>
      <c r="AP69" s="34">
        <f t="shared" si="13"/>
        <v>3501.9700000000003</v>
      </c>
      <c r="AQ69" s="34">
        <f t="shared" si="13"/>
        <v>4749.8999999999996</v>
      </c>
      <c r="AR69" s="34">
        <f t="shared" si="13"/>
        <v>1848.88</v>
      </c>
      <c r="AS69" s="34">
        <f t="shared" si="13"/>
        <v>3854.3599999999997</v>
      </c>
      <c r="AT69" s="34">
        <f t="shared" si="13"/>
        <v>2907.3</v>
      </c>
      <c r="AU69" s="34">
        <f t="shared" si="13"/>
        <v>2809.3999999999996</v>
      </c>
      <c r="AV69" s="34">
        <f t="shared" si="13"/>
        <v>6690.0000000000009</v>
      </c>
      <c r="AW69" s="34">
        <f t="shared" si="13"/>
        <v>3077.4</v>
      </c>
      <c r="AX69" s="34">
        <f t="shared" si="13"/>
        <v>2274.36</v>
      </c>
      <c r="AY69" s="34">
        <f t="shared" si="13"/>
        <v>2842.29</v>
      </c>
      <c r="AZ69" s="34">
        <f t="shared" si="13"/>
        <v>3039.39</v>
      </c>
      <c r="BA69" s="34">
        <f t="shared" si="13"/>
        <v>4163.67</v>
      </c>
      <c r="BB69" s="34">
        <f t="shared" si="13"/>
        <v>847.92000000000007</v>
      </c>
      <c r="BC69" s="34">
        <f t="shared" si="13"/>
        <v>2354.8199999999993</v>
      </c>
      <c r="BD69" s="34">
        <f t="shared" si="13"/>
        <v>1306.0899999999999</v>
      </c>
      <c r="BE69" s="34">
        <f t="shared" si="13"/>
        <v>5069.82</v>
      </c>
      <c r="BF69" s="34">
        <f t="shared" si="13"/>
        <v>711.33</v>
      </c>
      <c r="BG69" s="34">
        <f t="shared" si="13"/>
        <v>3004.8499999999995</v>
      </c>
      <c r="BH69" s="34">
        <f t="shared" si="13"/>
        <v>3300.41</v>
      </c>
      <c r="BI69" s="34">
        <f t="shared" si="13"/>
        <v>1948.0299999999993</v>
      </c>
      <c r="BJ69" s="34">
        <f t="shared" si="13"/>
        <v>3668.5600000000004</v>
      </c>
      <c r="BK69" s="34">
        <f t="shared" si="13"/>
        <v>3567.99</v>
      </c>
      <c r="BL69" s="34">
        <f t="shared" si="13"/>
        <v>3928.49</v>
      </c>
      <c r="BM69" s="34">
        <f t="shared" si="13"/>
        <v>4459.99</v>
      </c>
      <c r="BN69" s="34">
        <f t="shared" si="13"/>
        <v>1983.4199999999994</v>
      </c>
      <c r="BO69" s="34">
        <f t="shared" si="13"/>
        <v>1948.0299999999993</v>
      </c>
      <c r="BP69" s="34">
        <f t="shared" ref="BP69:CU69" si="14">BP46+BP64</f>
        <v>2735.0599999999995</v>
      </c>
      <c r="BQ69" s="34">
        <f t="shared" si="14"/>
        <v>2340.6299999999992</v>
      </c>
      <c r="BR69" s="34">
        <f t="shared" si="14"/>
        <v>3121.9900000000002</v>
      </c>
      <c r="BS69" s="34">
        <f t="shared" si="14"/>
        <v>3527.86</v>
      </c>
      <c r="BT69" s="34">
        <f t="shared" si="14"/>
        <v>7195.77</v>
      </c>
      <c r="BU69" s="34">
        <f t="shared" si="14"/>
        <v>2325.7599999999993</v>
      </c>
      <c r="BV69" s="34">
        <f t="shared" si="14"/>
        <v>1834.6799999999998</v>
      </c>
      <c r="BW69" s="34">
        <f t="shared" si="14"/>
        <v>2772.25</v>
      </c>
      <c r="BX69" s="34">
        <f t="shared" si="14"/>
        <v>2882.4</v>
      </c>
      <c r="BY69" s="34">
        <f t="shared" si="14"/>
        <v>2275.73</v>
      </c>
      <c r="BZ69" s="34">
        <f t="shared" si="14"/>
        <v>2446.3900000000003</v>
      </c>
      <c r="CA69" s="34">
        <f t="shared" si="14"/>
        <v>3345</v>
      </c>
      <c r="CB69" s="34">
        <f t="shared" si="14"/>
        <v>5930.5499999999993</v>
      </c>
      <c r="CC69" s="34">
        <f t="shared" si="14"/>
        <v>4575.95</v>
      </c>
      <c r="CD69" s="34">
        <f t="shared" si="14"/>
        <v>2333.8700000000003</v>
      </c>
      <c r="CE69" s="34">
        <f t="shared" si="14"/>
        <v>2275.7299999999991</v>
      </c>
      <c r="CF69" s="34">
        <f t="shared" si="14"/>
        <v>3010.4999999999995</v>
      </c>
      <c r="CG69" s="34">
        <f t="shared" si="14"/>
        <v>2408.6299999999992</v>
      </c>
      <c r="CH69" s="34">
        <f t="shared" si="14"/>
        <v>5017.5</v>
      </c>
      <c r="CI69" s="34">
        <f t="shared" si="14"/>
        <v>2898.99</v>
      </c>
      <c r="CJ69" s="34">
        <f t="shared" si="14"/>
        <v>3184.02</v>
      </c>
      <c r="CK69" s="34">
        <f t="shared" si="14"/>
        <v>2096.6199999999994</v>
      </c>
      <c r="CL69" s="34">
        <f t="shared" si="14"/>
        <v>2362.0299999999993</v>
      </c>
      <c r="CM69" s="34">
        <f t="shared" si="14"/>
        <v>2090.6599999999994</v>
      </c>
      <c r="CN69" s="34">
        <f t="shared" si="14"/>
        <v>2990.12</v>
      </c>
      <c r="CO69" s="34">
        <f t="shared" si="14"/>
        <v>1493.13</v>
      </c>
      <c r="CP69" s="34">
        <f t="shared" si="14"/>
        <v>2090.6599999999994</v>
      </c>
      <c r="CQ69" s="34">
        <f t="shared" si="14"/>
        <v>659.93999999999994</v>
      </c>
      <c r="CR69" s="34">
        <f t="shared" si="14"/>
        <v>1573.1299999999992</v>
      </c>
      <c r="CS69" s="34">
        <f t="shared" si="14"/>
        <v>2134.7499999999991</v>
      </c>
      <c r="CT69" s="34">
        <f t="shared" si="14"/>
        <v>2616.1499999999996</v>
      </c>
      <c r="CU69" s="34">
        <f t="shared" si="14"/>
        <v>2391.5199999999995</v>
      </c>
      <c r="CV69" s="34">
        <f t="shared" ref="CV69:DL69" si="15">CV46+CV64</f>
        <v>1951.2799999999995</v>
      </c>
      <c r="CW69" s="34">
        <f t="shared" si="15"/>
        <v>2651.3899999999994</v>
      </c>
      <c r="CX69" s="34">
        <f t="shared" si="15"/>
        <v>524.91</v>
      </c>
      <c r="CY69" s="34">
        <f t="shared" si="15"/>
        <v>2104.0699999999997</v>
      </c>
      <c r="CZ69" s="34">
        <f t="shared" si="15"/>
        <v>1483.73</v>
      </c>
      <c r="DA69" s="34">
        <f t="shared" si="15"/>
        <v>2397.42</v>
      </c>
      <c r="DB69" s="34">
        <f t="shared" si="15"/>
        <v>2216.2600000000002</v>
      </c>
      <c r="DC69" s="34">
        <f t="shared" si="15"/>
        <v>2452.9899999999993</v>
      </c>
      <c r="DD69" s="34">
        <f t="shared" si="15"/>
        <v>7143.8899999999994</v>
      </c>
      <c r="DE69" s="34">
        <f t="shared" si="15"/>
        <v>1706.5600000000002</v>
      </c>
      <c r="DF69" s="34">
        <f t="shared" si="15"/>
        <v>1356.2200000000003</v>
      </c>
      <c r="DG69" s="34">
        <f t="shared" si="15"/>
        <v>1668.3000000000002</v>
      </c>
      <c r="DH69" s="34">
        <f t="shared" si="15"/>
        <v>1394.07</v>
      </c>
      <c r="DI69" s="34">
        <f t="shared" si="15"/>
        <v>1237.3200000000002</v>
      </c>
      <c r="DJ69" s="34">
        <f t="shared" si="15"/>
        <v>1237.3200000000002</v>
      </c>
      <c r="DK69" s="34">
        <f t="shared" si="15"/>
        <v>989.55</v>
      </c>
      <c r="DL69" s="9">
        <f t="shared" si="15"/>
        <v>357.76</v>
      </c>
    </row>
    <row r="70" spans="1:116" ht="12" customHeight="1" x14ac:dyDescent="0.2">
      <c r="A70" s="15" t="s">
        <v>449</v>
      </c>
      <c r="B70" s="1"/>
      <c r="C70" s="16"/>
      <c r="D70" s="26">
        <v>2100</v>
      </c>
      <c r="E70" s="34">
        <v>3303.2</v>
      </c>
      <c r="F70" s="34">
        <v>2038.04</v>
      </c>
      <c r="G70" s="34">
        <v>2076.29</v>
      </c>
      <c r="H70" s="34">
        <v>2128.7800000000002</v>
      </c>
      <c r="I70" s="34">
        <v>1312.5</v>
      </c>
      <c r="J70" s="34">
        <v>2965.96</v>
      </c>
      <c r="K70" s="34">
        <v>2174.54</v>
      </c>
      <c r="L70" s="34">
        <v>2949.72</v>
      </c>
      <c r="M70" s="34">
        <v>1757.27</v>
      </c>
      <c r="N70" s="34">
        <v>2080.06</v>
      </c>
      <c r="O70" s="34">
        <v>3659.6</v>
      </c>
      <c r="P70" s="34">
        <v>3500</v>
      </c>
      <c r="Q70" s="34">
        <v>1885.07</v>
      </c>
      <c r="R70" s="34">
        <v>5101.2</v>
      </c>
      <c r="S70" s="34">
        <v>3369.56</v>
      </c>
      <c r="T70" s="34">
        <v>712.5</v>
      </c>
      <c r="U70" s="34">
        <v>2738.77</v>
      </c>
      <c r="V70" s="34">
        <v>2368.33</v>
      </c>
      <c r="W70" s="34">
        <v>1873.35</v>
      </c>
      <c r="X70" s="34">
        <v>2015.29</v>
      </c>
      <c r="Y70" s="34">
        <v>2283.34</v>
      </c>
      <c r="Z70" s="34">
        <v>1800</v>
      </c>
      <c r="AA70" s="34">
        <v>3140</v>
      </c>
      <c r="AB70" s="34">
        <v>2413.06</v>
      </c>
      <c r="AC70" s="34">
        <v>2316.0700000000002</v>
      </c>
      <c r="AD70" s="34">
        <v>1758.17</v>
      </c>
      <c r="AE70" s="34">
        <v>2542.77</v>
      </c>
      <c r="AF70" s="34">
        <v>0</v>
      </c>
      <c r="AG70" s="34">
        <v>0</v>
      </c>
      <c r="AH70" s="34">
        <v>2062.7399999999998</v>
      </c>
      <c r="AI70" s="34">
        <v>1801.03</v>
      </c>
      <c r="AJ70" s="34">
        <v>2691.71</v>
      </c>
      <c r="AK70" s="34">
        <v>3625</v>
      </c>
      <c r="AL70" s="34">
        <v>1880.7</v>
      </c>
      <c r="AM70" s="34">
        <v>5101.2</v>
      </c>
      <c r="AN70" s="34">
        <v>2163.66</v>
      </c>
      <c r="AO70" s="34">
        <v>3463.32</v>
      </c>
      <c r="AP70" s="34">
        <v>2650</v>
      </c>
      <c r="AQ70" s="34">
        <v>3550</v>
      </c>
      <c r="AR70" s="34">
        <v>1845.89</v>
      </c>
      <c r="AS70" s="34">
        <v>2916.66</v>
      </c>
      <c r="AT70" s="34">
        <v>2200</v>
      </c>
      <c r="AU70" s="34">
        <v>2099.6999999999998</v>
      </c>
      <c r="AV70" s="34">
        <v>5000</v>
      </c>
      <c r="AW70" s="34">
        <v>2300</v>
      </c>
      <c r="AX70" s="34">
        <v>1802</v>
      </c>
      <c r="AY70" s="34">
        <v>2124.29</v>
      </c>
      <c r="AZ70" s="34">
        <v>2271.6</v>
      </c>
      <c r="BA70" s="34">
        <v>3111.86</v>
      </c>
      <c r="BB70" s="34">
        <v>2508.6</v>
      </c>
      <c r="BC70" s="34">
        <v>1759.95</v>
      </c>
      <c r="BD70" s="34">
        <v>1171.9100000000001</v>
      </c>
      <c r="BE70" s="34">
        <v>3789.11</v>
      </c>
      <c r="BF70" s="34">
        <v>2104.5</v>
      </c>
      <c r="BG70" s="34">
        <v>2245.7800000000002</v>
      </c>
      <c r="BH70" s="34">
        <v>2466.67</v>
      </c>
      <c r="BI70" s="34">
        <v>1455.94</v>
      </c>
      <c r="BJ70" s="34">
        <v>2741.82</v>
      </c>
      <c r="BK70" s="34">
        <v>2666.66</v>
      </c>
      <c r="BL70" s="34">
        <v>2936.1</v>
      </c>
      <c r="BM70" s="34">
        <v>3333.33</v>
      </c>
      <c r="BN70" s="34">
        <v>1482.38</v>
      </c>
      <c r="BO70" s="34">
        <v>1455.94</v>
      </c>
      <c r="BP70" s="34">
        <v>2190.42</v>
      </c>
      <c r="BQ70" s="34">
        <v>1749.34</v>
      </c>
      <c r="BR70" s="34">
        <v>2333.33</v>
      </c>
      <c r="BS70" s="34">
        <v>2636.67</v>
      </c>
      <c r="BT70" s="34">
        <v>5101.2</v>
      </c>
      <c r="BU70" s="34">
        <v>1738.24</v>
      </c>
      <c r="BV70" s="34">
        <v>1840.5</v>
      </c>
      <c r="BW70" s="34">
        <v>2071.9499999999998</v>
      </c>
      <c r="BX70" s="34">
        <v>2098.58</v>
      </c>
      <c r="BY70" s="34">
        <v>1700.84</v>
      </c>
      <c r="BZ70" s="34">
        <v>1828.39</v>
      </c>
      <c r="CA70" s="34">
        <v>2500</v>
      </c>
      <c r="CB70" s="34">
        <v>4333.34</v>
      </c>
      <c r="CC70" s="34">
        <v>3419.99</v>
      </c>
      <c r="CD70" s="34">
        <v>1744.3</v>
      </c>
      <c r="CE70" s="34">
        <v>1700.84</v>
      </c>
      <c r="CF70" s="34">
        <v>2250</v>
      </c>
      <c r="CG70" s="34">
        <v>1800.18</v>
      </c>
      <c r="CH70" s="34">
        <v>3750</v>
      </c>
      <c r="CI70" s="34">
        <v>2166.66</v>
      </c>
      <c r="CJ70" s="34">
        <v>2379.69</v>
      </c>
      <c r="CK70" s="34">
        <v>1566.99</v>
      </c>
      <c r="CL70" s="34">
        <v>1765.34</v>
      </c>
      <c r="CM70" s="34">
        <v>1562.52</v>
      </c>
      <c r="CN70" s="34">
        <v>2234.77</v>
      </c>
      <c r="CO70" s="34">
        <v>1562.4</v>
      </c>
      <c r="CP70" s="34">
        <v>1562.52</v>
      </c>
      <c r="CQ70" s="34">
        <v>1381.2</v>
      </c>
      <c r="CR70" s="34">
        <v>1456.01</v>
      </c>
      <c r="CS70" s="34">
        <v>1595.49</v>
      </c>
      <c r="CT70" s="34">
        <v>2107.3200000000002</v>
      </c>
      <c r="CU70" s="34">
        <v>1787.38</v>
      </c>
      <c r="CV70" s="34">
        <v>1458.35</v>
      </c>
      <c r="CW70" s="34">
        <v>1981.62</v>
      </c>
      <c r="CX70" s="34">
        <v>1381.2</v>
      </c>
      <c r="CY70" s="34">
        <v>1572.55</v>
      </c>
      <c r="CZ70" s="34">
        <v>1108.92</v>
      </c>
      <c r="DA70" s="34">
        <v>1791.79</v>
      </c>
      <c r="DB70" s="34">
        <v>1656.39</v>
      </c>
      <c r="DC70" s="34">
        <v>1833.33</v>
      </c>
      <c r="DD70" s="34">
        <v>5101.2</v>
      </c>
      <c r="DE70" s="34">
        <v>1360.16</v>
      </c>
      <c r="DF70" s="34">
        <v>1013.61</v>
      </c>
      <c r="DG70" s="34">
        <v>1246.8699999999999</v>
      </c>
      <c r="DH70" s="34">
        <v>1041.9100000000001</v>
      </c>
      <c r="DI70" s="34">
        <v>931.84</v>
      </c>
      <c r="DJ70" s="34">
        <v>931.84</v>
      </c>
      <c r="DK70" s="34">
        <v>720.46</v>
      </c>
      <c r="DL70" s="9">
        <v>267.38</v>
      </c>
    </row>
    <row r="71" spans="1:116" ht="12" customHeight="1" x14ac:dyDescent="0.2">
      <c r="A71" s="15" t="s">
        <v>450</v>
      </c>
      <c r="B71" s="1"/>
      <c r="C71" s="16"/>
      <c r="D71" s="26">
        <v>2100</v>
      </c>
      <c r="E71" s="34">
        <v>3303.2</v>
      </c>
      <c r="F71" s="34">
        <v>2038.04</v>
      </c>
      <c r="G71" s="34">
        <v>2076.29</v>
      </c>
      <c r="H71" s="34">
        <v>2128.7800000000002</v>
      </c>
      <c r="I71" s="34">
        <v>1312.5</v>
      </c>
      <c r="J71" s="34">
        <v>2965.96</v>
      </c>
      <c r="K71" s="34">
        <v>2174.54</v>
      </c>
      <c r="L71" s="34">
        <v>2949.72</v>
      </c>
      <c r="M71" s="34">
        <v>1757.27</v>
      </c>
      <c r="N71" s="34">
        <v>2080.06</v>
      </c>
      <c r="O71" s="34">
        <v>3659.6</v>
      </c>
      <c r="P71" s="34">
        <v>3500</v>
      </c>
      <c r="Q71" s="34">
        <v>1885.07</v>
      </c>
      <c r="R71" s="34">
        <v>5101.2</v>
      </c>
      <c r="S71" s="34">
        <v>3369.56</v>
      </c>
      <c r="T71" s="34">
        <v>712.5</v>
      </c>
      <c r="U71" s="34">
        <v>2738.77</v>
      </c>
      <c r="V71" s="34">
        <v>2368.33</v>
      </c>
      <c r="W71" s="34">
        <v>1873.35</v>
      </c>
      <c r="X71" s="34">
        <v>2015.29</v>
      </c>
      <c r="Y71" s="34">
        <v>2283.34</v>
      </c>
      <c r="Z71" s="34">
        <v>1800</v>
      </c>
      <c r="AA71" s="34">
        <v>3140</v>
      </c>
      <c r="AB71" s="34">
        <v>2413.06</v>
      </c>
      <c r="AC71" s="34">
        <v>2316.0700000000002</v>
      </c>
      <c r="AD71" s="34">
        <v>1758.17</v>
      </c>
      <c r="AE71" s="34">
        <v>2542.77</v>
      </c>
      <c r="AF71" s="34">
        <v>0</v>
      </c>
      <c r="AG71" s="34">
        <v>0</v>
      </c>
      <c r="AH71" s="34">
        <v>2062.7399999999998</v>
      </c>
      <c r="AI71" s="34">
        <v>1801.03</v>
      </c>
      <c r="AJ71" s="34">
        <v>2691.71</v>
      </c>
      <c r="AK71" s="34">
        <v>3625</v>
      </c>
      <c r="AL71" s="34">
        <v>1880.7</v>
      </c>
      <c r="AM71" s="34">
        <v>5101.2</v>
      </c>
      <c r="AN71" s="34">
        <v>2163.66</v>
      </c>
      <c r="AO71" s="34">
        <v>3463.32</v>
      </c>
      <c r="AP71" s="34">
        <v>2650</v>
      </c>
      <c r="AQ71" s="34">
        <v>3550</v>
      </c>
      <c r="AR71" s="34">
        <v>1845.89</v>
      </c>
      <c r="AS71" s="34">
        <v>2916.66</v>
      </c>
      <c r="AT71" s="34">
        <v>2200</v>
      </c>
      <c r="AU71" s="34">
        <v>2099.6999999999998</v>
      </c>
      <c r="AV71" s="34">
        <v>5000</v>
      </c>
      <c r="AW71" s="34">
        <v>2300</v>
      </c>
      <c r="AX71" s="34">
        <v>1802</v>
      </c>
      <c r="AY71" s="34">
        <v>2124.29</v>
      </c>
      <c r="AZ71" s="34">
        <v>2271.6</v>
      </c>
      <c r="BA71" s="34">
        <v>3111.86</v>
      </c>
      <c r="BB71" s="34">
        <v>2508.6</v>
      </c>
      <c r="BC71" s="34">
        <v>1759.95</v>
      </c>
      <c r="BD71" s="34">
        <v>1171.9100000000001</v>
      </c>
      <c r="BE71" s="34">
        <v>3789.11</v>
      </c>
      <c r="BF71" s="34">
        <v>2104.5</v>
      </c>
      <c r="BG71" s="34">
        <v>2245.7800000000002</v>
      </c>
      <c r="BH71" s="34">
        <v>2466.67</v>
      </c>
      <c r="BI71" s="34">
        <v>1455.94</v>
      </c>
      <c r="BJ71" s="34">
        <v>2741.82</v>
      </c>
      <c r="BK71" s="34">
        <v>2666.66</v>
      </c>
      <c r="BL71" s="34">
        <v>2936.1</v>
      </c>
      <c r="BM71" s="34">
        <v>3333.33</v>
      </c>
      <c r="BN71" s="34">
        <v>1482.38</v>
      </c>
      <c r="BO71" s="34">
        <v>1455.94</v>
      </c>
      <c r="BP71" s="34">
        <v>2190.42</v>
      </c>
      <c r="BQ71" s="34">
        <v>1749.34</v>
      </c>
      <c r="BR71" s="34">
        <v>2333.33</v>
      </c>
      <c r="BS71" s="34">
        <v>2636.67</v>
      </c>
      <c r="BT71" s="34">
        <v>5101.2</v>
      </c>
      <c r="BU71" s="34">
        <v>1738.24</v>
      </c>
      <c r="BV71" s="34">
        <v>1840.5</v>
      </c>
      <c r="BW71" s="34">
        <v>2071.9499999999998</v>
      </c>
      <c r="BX71" s="34">
        <v>2098.58</v>
      </c>
      <c r="BY71" s="34">
        <v>1700.84</v>
      </c>
      <c r="BZ71" s="34">
        <v>1828.39</v>
      </c>
      <c r="CA71" s="34">
        <v>2500</v>
      </c>
      <c r="CB71" s="34">
        <v>4333.34</v>
      </c>
      <c r="CC71" s="34">
        <v>3419.99</v>
      </c>
      <c r="CD71" s="34">
        <v>1744.3</v>
      </c>
      <c r="CE71" s="34">
        <v>1700.84</v>
      </c>
      <c r="CF71" s="34">
        <v>2250</v>
      </c>
      <c r="CG71" s="34">
        <v>1800.18</v>
      </c>
      <c r="CH71" s="34">
        <v>3750</v>
      </c>
      <c r="CI71" s="34">
        <v>2166.66</v>
      </c>
      <c r="CJ71" s="34">
        <v>2379.69</v>
      </c>
      <c r="CK71" s="34">
        <v>1566.99</v>
      </c>
      <c r="CL71" s="34">
        <v>1765.34</v>
      </c>
      <c r="CM71" s="34">
        <v>1562.52</v>
      </c>
      <c r="CN71" s="34">
        <v>2234.77</v>
      </c>
      <c r="CO71" s="34">
        <v>1562.4</v>
      </c>
      <c r="CP71" s="34">
        <v>1562.52</v>
      </c>
      <c r="CQ71" s="34">
        <v>1381.2</v>
      </c>
      <c r="CR71" s="34">
        <v>1456.01</v>
      </c>
      <c r="CS71" s="34">
        <v>1595.49</v>
      </c>
      <c r="CT71" s="34">
        <v>2107.3200000000002</v>
      </c>
      <c r="CU71" s="34">
        <v>1787.38</v>
      </c>
      <c r="CV71" s="34">
        <v>1458.35</v>
      </c>
      <c r="CW71" s="34">
        <v>1981.62</v>
      </c>
      <c r="CX71" s="34">
        <v>1381.2</v>
      </c>
      <c r="CY71" s="34">
        <v>1572.55</v>
      </c>
      <c r="CZ71" s="34">
        <v>1108.92</v>
      </c>
      <c r="DA71" s="34">
        <v>1791.79</v>
      </c>
      <c r="DB71" s="34">
        <v>1656.39</v>
      </c>
      <c r="DC71" s="34">
        <v>1833.33</v>
      </c>
      <c r="DD71" s="34">
        <v>5101.2</v>
      </c>
      <c r="DE71" s="34">
        <v>1360.16</v>
      </c>
      <c r="DF71" s="34">
        <v>1013.61</v>
      </c>
      <c r="DG71" s="34">
        <v>1246.8699999999999</v>
      </c>
      <c r="DH71" s="34">
        <v>1041.9100000000001</v>
      </c>
      <c r="DI71" s="34">
        <v>931.84</v>
      </c>
      <c r="DJ71" s="34">
        <v>931.84</v>
      </c>
      <c r="DK71" s="34">
        <v>720.46</v>
      </c>
      <c r="DL71" s="9">
        <v>267.38</v>
      </c>
    </row>
    <row r="72" spans="1:116" ht="12" customHeight="1" x14ac:dyDescent="0.2">
      <c r="A72" s="15" t="s">
        <v>451</v>
      </c>
      <c r="B72" s="1"/>
      <c r="C72" s="16"/>
      <c r="D72" s="26">
        <v>2099.23</v>
      </c>
      <c r="E72" s="34">
        <v>3302.43</v>
      </c>
      <c r="F72" s="34">
        <v>1999.24</v>
      </c>
      <c r="G72" s="34">
        <v>2075.52</v>
      </c>
      <c r="H72" s="34">
        <v>2128.0100000000002</v>
      </c>
      <c r="I72" s="34">
        <v>1311.73</v>
      </c>
      <c r="J72" s="34">
        <v>2965.19</v>
      </c>
      <c r="K72" s="34">
        <v>1901.94</v>
      </c>
      <c r="L72" s="34">
        <v>2948.95</v>
      </c>
      <c r="M72" s="34">
        <v>1493</v>
      </c>
      <c r="N72" s="34">
        <v>2079.29</v>
      </c>
      <c r="O72" s="34">
        <v>3658.83</v>
      </c>
      <c r="P72" s="34">
        <v>3499.23</v>
      </c>
      <c r="Q72" s="34">
        <v>1884.3</v>
      </c>
      <c r="R72" s="34">
        <v>5597.96</v>
      </c>
      <c r="S72" s="34">
        <v>3368.79</v>
      </c>
      <c r="T72" s="34">
        <v>711.73</v>
      </c>
      <c r="U72" s="34">
        <v>2738</v>
      </c>
      <c r="V72" s="34">
        <v>2367.56</v>
      </c>
      <c r="W72" s="34">
        <v>1872.58</v>
      </c>
      <c r="X72" s="34">
        <v>2014.52</v>
      </c>
      <c r="Y72" s="34">
        <v>2282.5700000000002</v>
      </c>
      <c r="Z72" s="34">
        <v>1799.23</v>
      </c>
      <c r="AA72" s="34">
        <v>3139.23</v>
      </c>
      <c r="AB72" s="34">
        <v>1768.58</v>
      </c>
      <c r="AC72" s="34">
        <v>1976.12</v>
      </c>
      <c r="AD72" s="34">
        <v>1757.4</v>
      </c>
      <c r="AE72" s="34">
        <v>2542</v>
      </c>
      <c r="AF72" s="34">
        <v>3268.9</v>
      </c>
      <c r="AG72" s="34">
        <v>5215.51</v>
      </c>
      <c r="AH72" s="34">
        <v>2061.9699999999998</v>
      </c>
      <c r="AI72" s="34">
        <v>1800.26</v>
      </c>
      <c r="AJ72" s="34">
        <v>2690.94</v>
      </c>
      <c r="AK72" s="34">
        <v>3504.89</v>
      </c>
      <c r="AL72" s="34">
        <v>0</v>
      </c>
      <c r="AM72" s="34">
        <v>5582.57</v>
      </c>
      <c r="AN72" s="34">
        <v>2162.89</v>
      </c>
      <c r="AO72" s="34">
        <v>3462.55</v>
      </c>
      <c r="AP72" s="34">
        <v>2649.23</v>
      </c>
      <c r="AQ72" s="34">
        <v>3549.23</v>
      </c>
      <c r="AR72" s="34">
        <v>1224.44</v>
      </c>
      <c r="AS72" s="34">
        <v>2915.89</v>
      </c>
      <c r="AT72" s="34">
        <v>2199.23</v>
      </c>
      <c r="AU72" s="34">
        <v>2098.9299999999998</v>
      </c>
      <c r="AV72" s="34">
        <v>4999.2299999999996</v>
      </c>
      <c r="AW72" s="34">
        <v>2299.23</v>
      </c>
      <c r="AX72" s="34">
        <v>1800.17</v>
      </c>
      <c r="AY72" s="34">
        <v>2123.52</v>
      </c>
      <c r="AZ72" s="34">
        <v>2270.83</v>
      </c>
      <c r="BA72" s="34">
        <v>3111.09</v>
      </c>
      <c r="BB72" s="34">
        <v>1756.16</v>
      </c>
      <c r="BC72" s="34">
        <v>1759.18</v>
      </c>
      <c r="BD72" s="34">
        <v>1171.1400000000001</v>
      </c>
      <c r="BE72" s="34">
        <v>3788.34</v>
      </c>
      <c r="BF72" s="34">
        <v>0</v>
      </c>
      <c r="BG72" s="34">
        <v>2245.0100000000002</v>
      </c>
      <c r="BH72" s="34">
        <v>2465.9</v>
      </c>
      <c r="BI72" s="34">
        <v>1455.17</v>
      </c>
      <c r="BJ72" s="34">
        <v>2741.05</v>
      </c>
      <c r="BK72" s="34">
        <v>2665.89</v>
      </c>
      <c r="BL72" s="34">
        <v>2935.33</v>
      </c>
      <c r="BM72" s="34">
        <v>3332.56</v>
      </c>
      <c r="BN72" s="34">
        <v>1481.61</v>
      </c>
      <c r="BO72" s="34">
        <v>1455.17</v>
      </c>
      <c r="BP72" s="34">
        <v>2134.9699999999998</v>
      </c>
      <c r="BQ72" s="34">
        <v>1748.57</v>
      </c>
      <c r="BR72" s="34">
        <v>2332.56</v>
      </c>
      <c r="BS72" s="34">
        <v>2635.9</v>
      </c>
      <c r="BT72" s="34">
        <v>5415.9</v>
      </c>
      <c r="BU72" s="34">
        <v>1737.47</v>
      </c>
      <c r="BV72" s="34">
        <v>1212.0899999999999</v>
      </c>
      <c r="BW72" s="34">
        <v>2071.1799999999998</v>
      </c>
      <c r="BX72" s="34">
        <v>2097.81</v>
      </c>
      <c r="BY72" s="34">
        <v>1700.07</v>
      </c>
      <c r="BZ72" s="34">
        <v>1827.62</v>
      </c>
      <c r="CA72" s="34">
        <v>2425.54</v>
      </c>
      <c r="CB72" s="34">
        <v>4332.57</v>
      </c>
      <c r="CC72" s="34">
        <v>3419.22</v>
      </c>
      <c r="CD72" s="34">
        <v>1743.53</v>
      </c>
      <c r="CE72" s="34">
        <v>1700.07</v>
      </c>
      <c r="CF72" s="34">
        <v>2249.23</v>
      </c>
      <c r="CG72" s="34">
        <v>1799.41</v>
      </c>
      <c r="CH72" s="34">
        <v>3749.23</v>
      </c>
      <c r="CI72" s="34">
        <v>2165.89</v>
      </c>
      <c r="CJ72" s="34">
        <v>2378.92</v>
      </c>
      <c r="CK72" s="34">
        <v>1566.22</v>
      </c>
      <c r="CL72" s="34">
        <v>1764.57</v>
      </c>
      <c r="CM72" s="34">
        <v>1561.75</v>
      </c>
      <c r="CN72" s="34">
        <v>2234</v>
      </c>
      <c r="CO72" s="34">
        <v>1394.67</v>
      </c>
      <c r="CP72" s="34">
        <v>1561.75</v>
      </c>
      <c r="CQ72" s="34">
        <v>649.42999999999995</v>
      </c>
      <c r="CR72" s="34">
        <v>1455.24</v>
      </c>
      <c r="CS72" s="34">
        <v>1594.72</v>
      </c>
      <c r="CT72" s="34">
        <v>1903.2</v>
      </c>
      <c r="CU72" s="34">
        <v>1786.61</v>
      </c>
      <c r="CV72" s="34">
        <v>1457.58</v>
      </c>
      <c r="CW72" s="34">
        <v>1980.85</v>
      </c>
      <c r="CX72" s="34">
        <v>514.4</v>
      </c>
      <c r="CY72" s="34">
        <v>1571.78</v>
      </c>
      <c r="CZ72" s="34">
        <v>1108.1500000000001</v>
      </c>
      <c r="DA72" s="34">
        <v>1791.02</v>
      </c>
      <c r="DB72" s="34">
        <v>1655.62</v>
      </c>
      <c r="DC72" s="34">
        <v>1832.56</v>
      </c>
      <c r="DD72" s="34">
        <v>5415.89</v>
      </c>
      <c r="DE72" s="34">
        <v>1246.0999999999999</v>
      </c>
      <c r="DF72" s="34">
        <v>1012.84</v>
      </c>
      <c r="DG72" s="34">
        <v>1246.0999999999999</v>
      </c>
      <c r="DH72" s="34">
        <v>1041.1400000000001</v>
      </c>
      <c r="DI72" s="34">
        <v>921.6</v>
      </c>
      <c r="DJ72" s="34">
        <v>921.6</v>
      </c>
      <c r="DK72" s="34">
        <v>719.69</v>
      </c>
      <c r="DL72" s="9">
        <v>266.61</v>
      </c>
    </row>
    <row r="73" spans="1:116" ht="12" customHeight="1" x14ac:dyDescent="0.2">
      <c r="A73" s="15" t="s">
        <v>452</v>
      </c>
      <c r="B73" s="1"/>
      <c r="C73" s="16"/>
      <c r="D73" s="26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579.58000000000004</v>
      </c>
      <c r="AH73" s="34">
        <v>0</v>
      </c>
      <c r="AI73" s="34">
        <v>0</v>
      </c>
      <c r="AJ73" s="34">
        <v>0</v>
      </c>
      <c r="AK73" s="34">
        <v>0</v>
      </c>
      <c r="AL73" s="34">
        <v>0</v>
      </c>
      <c r="AM73" s="34">
        <v>0</v>
      </c>
      <c r="AN73" s="34">
        <v>0</v>
      </c>
      <c r="AO73" s="34">
        <v>0</v>
      </c>
      <c r="AP73" s="34">
        <v>0</v>
      </c>
      <c r="AQ73" s="34">
        <v>0</v>
      </c>
      <c r="AR73" s="34">
        <v>0</v>
      </c>
      <c r="AS73" s="34">
        <v>0</v>
      </c>
      <c r="AT73" s="34">
        <v>0</v>
      </c>
      <c r="AU73" s="34">
        <v>0</v>
      </c>
      <c r="AV73" s="34">
        <v>0</v>
      </c>
      <c r="AW73" s="34">
        <v>0</v>
      </c>
      <c r="AX73" s="34">
        <v>0</v>
      </c>
      <c r="AY73" s="34">
        <v>0</v>
      </c>
      <c r="AZ73" s="34">
        <v>0</v>
      </c>
      <c r="BA73" s="34">
        <v>0</v>
      </c>
      <c r="BB73" s="34">
        <v>0</v>
      </c>
      <c r="BC73" s="34">
        <v>0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0</v>
      </c>
      <c r="BN73" s="34">
        <v>0</v>
      </c>
      <c r="BO73" s="34">
        <v>0</v>
      </c>
      <c r="BP73" s="34">
        <v>0</v>
      </c>
      <c r="BQ73" s="34">
        <v>0</v>
      </c>
      <c r="BR73" s="34">
        <v>0</v>
      </c>
      <c r="BS73" s="34">
        <v>0</v>
      </c>
      <c r="BT73" s="34">
        <v>0</v>
      </c>
      <c r="BU73" s="34">
        <v>0</v>
      </c>
      <c r="BV73" s="34">
        <v>0</v>
      </c>
      <c r="BW73" s="34">
        <v>0</v>
      </c>
      <c r="BX73" s="34">
        <v>0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0</v>
      </c>
      <c r="CF73" s="34">
        <v>0</v>
      </c>
      <c r="CG73" s="34">
        <v>0</v>
      </c>
      <c r="CH73" s="34">
        <v>0</v>
      </c>
      <c r="CI73" s="34">
        <v>0</v>
      </c>
      <c r="CJ73" s="34">
        <v>0</v>
      </c>
      <c r="CK73" s="34">
        <v>0</v>
      </c>
      <c r="CL73" s="34">
        <v>0</v>
      </c>
      <c r="CM73" s="34">
        <v>0</v>
      </c>
      <c r="CN73" s="34">
        <v>0</v>
      </c>
      <c r="CO73" s="34">
        <v>0</v>
      </c>
      <c r="CP73" s="34">
        <v>0</v>
      </c>
      <c r="CQ73" s="34">
        <v>0</v>
      </c>
      <c r="CR73" s="34">
        <v>0</v>
      </c>
      <c r="CS73" s="34">
        <v>0</v>
      </c>
      <c r="CT73" s="34">
        <v>0</v>
      </c>
      <c r="CU73" s="34">
        <v>0</v>
      </c>
      <c r="CV73" s="34">
        <v>0</v>
      </c>
      <c r="CW73" s="34">
        <v>0</v>
      </c>
      <c r="CX73" s="34">
        <v>0</v>
      </c>
      <c r="CY73" s="34">
        <v>0</v>
      </c>
      <c r="CZ73" s="34">
        <v>0</v>
      </c>
      <c r="DA73" s="34">
        <v>0</v>
      </c>
      <c r="DB73" s="34">
        <v>0</v>
      </c>
      <c r="DC73" s="34">
        <v>0</v>
      </c>
      <c r="DD73" s="34">
        <v>0</v>
      </c>
      <c r="DE73" s="34">
        <v>0</v>
      </c>
      <c r="DF73" s="34">
        <v>0</v>
      </c>
      <c r="DG73" s="34">
        <v>0</v>
      </c>
      <c r="DH73" s="34">
        <v>0</v>
      </c>
      <c r="DI73" s="34">
        <v>0</v>
      </c>
      <c r="DJ73" s="34">
        <v>0</v>
      </c>
      <c r="DK73" s="34">
        <v>0</v>
      </c>
      <c r="DL73" s="9">
        <v>0</v>
      </c>
    </row>
    <row r="74" spans="1:116" ht="12" customHeight="1" x14ac:dyDescent="0.2">
      <c r="A74" s="15" t="s">
        <v>453</v>
      </c>
      <c r="B74" s="1"/>
      <c r="C74" s="16"/>
      <c r="D74" s="26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0</v>
      </c>
      <c r="AM74" s="34">
        <v>0</v>
      </c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v>0</v>
      </c>
      <c r="AT74" s="34">
        <v>0</v>
      </c>
      <c r="AU74" s="34">
        <v>0</v>
      </c>
      <c r="AV74" s="34">
        <v>0</v>
      </c>
      <c r="AW74" s="34">
        <v>0</v>
      </c>
      <c r="AX74" s="34">
        <v>0</v>
      </c>
      <c r="AY74" s="34">
        <v>0</v>
      </c>
      <c r="AZ74" s="34">
        <v>0</v>
      </c>
      <c r="BA74" s="34">
        <v>0</v>
      </c>
      <c r="BB74" s="34">
        <v>0</v>
      </c>
      <c r="BC74" s="34">
        <v>0</v>
      </c>
      <c r="BD74" s="34">
        <v>0</v>
      </c>
      <c r="BE74" s="34">
        <v>0</v>
      </c>
      <c r="BF74" s="34">
        <v>0</v>
      </c>
      <c r="BG74" s="34">
        <v>0</v>
      </c>
      <c r="BH74" s="34">
        <v>0</v>
      </c>
      <c r="BI74" s="34">
        <v>0</v>
      </c>
      <c r="BJ74" s="34">
        <v>0</v>
      </c>
      <c r="BK74" s="34">
        <v>0</v>
      </c>
      <c r="BL74" s="34">
        <v>0</v>
      </c>
      <c r="BM74" s="34">
        <v>0</v>
      </c>
      <c r="BN74" s="34">
        <v>0</v>
      </c>
      <c r="BO74" s="34">
        <v>0</v>
      </c>
      <c r="BP74" s="34">
        <v>0</v>
      </c>
      <c r="BQ74" s="34">
        <v>0</v>
      </c>
      <c r="BR74" s="34">
        <v>0</v>
      </c>
      <c r="BS74" s="34">
        <v>0</v>
      </c>
      <c r="BT74" s="34">
        <v>0</v>
      </c>
      <c r="BU74" s="34">
        <v>0</v>
      </c>
      <c r="BV74" s="34">
        <v>0</v>
      </c>
      <c r="BW74" s="34">
        <v>0</v>
      </c>
      <c r="BX74" s="34">
        <v>0</v>
      </c>
      <c r="BY74" s="34">
        <v>0</v>
      </c>
      <c r="BZ74" s="34">
        <v>0</v>
      </c>
      <c r="CA74" s="34">
        <v>0</v>
      </c>
      <c r="CB74" s="34">
        <v>0</v>
      </c>
      <c r="CC74" s="34">
        <v>0</v>
      </c>
      <c r="CD74" s="34">
        <v>0</v>
      </c>
      <c r="CE74" s="34">
        <v>0</v>
      </c>
      <c r="CF74" s="34">
        <v>0</v>
      </c>
      <c r="CG74" s="34">
        <v>0</v>
      </c>
      <c r="CH74" s="34">
        <v>0</v>
      </c>
      <c r="CI74" s="34">
        <v>0</v>
      </c>
      <c r="CJ74" s="34">
        <v>0</v>
      </c>
      <c r="CK74" s="34">
        <v>0</v>
      </c>
      <c r="CL74" s="34">
        <v>0</v>
      </c>
      <c r="CM74" s="34">
        <v>0</v>
      </c>
      <c r="CN74" s="34">
        <v>0</v>
      </c>
      <c r="CO74" s="34">
        <v>0</v>
      </c>
      <c r="CP74" s="34">
        <v>0</v>
      </c>
      <c r="CQ74" s="34">
        <v>0</v>
      </c>
      <c r="CR74" s="34">
        <v>0</v>
      </c>
      <c r="CS74" s="34">
        <v>0</v>
      </c>
      <c r="CT74" s="34">
        <v>0</v>
      </c>
      <c r="CU74" s="34">
        <v>0</v>
      </c>
      <c r="CV74" s="34">
        <v>0</v>
      </c>
      <c r="CW74" s="34">
        <v>0</v>
      </c>
      <c r="CX74" s="34">
        <v>0</v>
      </c>
      <c r="CY74" s="34">
        <v>0</v>
      </c>
      <c r="CZ74" s="34">
        <v>0</v>
      </c>
      <c r="DA74" s="34">
        <v>0</v>
      </c>
      <c r="DB74" s="34">
        <v>0</v>
      </c>
      <c r="DC74" s="34">
        <v>0</v>
      </c>
      <c r="DD74" s="34">
        <v>0</v>
      </c>
      <c r="DE74" s="34">
        <v>0</v>
      </c>
      <c r="DF74" s="34">
        <v>0</v>
      </c>
      <c r="DG74" s="34">
        <v>0</v>
      </c>
      <c r="DH74" s="34">
        <v>0</v>
      </c>
      <c r="DI74" s="34">
        <v>0</v>
      </c>
      <c r="DJ74" s="34">
        <v>0</v>
      </c>
      <c r="DK74" s="34">
        <v>0</v>
      </c>
      <c r="DL74" s="9">
        <v>0</v>
      </c>
    </row>
    <row r="75" spans="1:116" ht="12" customHeight="1" x14ac:dyDescent="0.2">
      <c r="A75" s="15" t="s">
        <v>454</v>
      </c>
      <c r="B75" s="1"/>
      <c r="C75" s="16"/>
      <c r="D75" s="25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  <c r="AJ75" s="33">
        <v>0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  <c r="AQ75" s="33">
        <v>0</v>
      </c>
      <c r="AR75" s="33">
        <v>0</v>
      </c>
      <c r="AS75" s="33">
        <v>0</v>
      </c>
      <c r="AT75" s="33">
        <v>0</v>
      </c>
      <c r="AU75" s="33">
        <v>0</v>
      </c>
      <c r="AV75" s="33">
        <v>0</v>
      </c>
      <c r="AW75" s="33">
        <v>0</v>
      </c>
      <c r="AX75" s="33">
        <v>0</v>
      </c>
      <c r="AY75" s="33">
        <v>0</v>
      </c>
      <c r="AZ75" s="33">
        <v>0</v>
      </c>
      <c r="BA75" s="33">
        <v>0</v>
      </c>
      <c r="BB75" s="33">
        <v>0</v>
      </c>
      <c r="BC75" s="33">
        <v>0</v>
      </c>
      <c r="BD75" s="33">
        <v>0</v>
      </c>
      <c r="BE75" s="33">
        <v>0</v>
      </c>
      <c r="BF75" s="33">
        <v>0</v>
      </c>
      <c r="BG75" s="33">
        <v>0</v>
      </c>
      <c r="BH75" s="33">
        <v>0</v>
      </c>
      <c r="BI75" s="33">
        <v>0</v>
      </c>
      <c r="BJ75" s="33">
        <v>0</v>
      </c>
      <c r="BK75" s="33">
        <v>0</v>
      </c>
      <c r="BL75" s="33">
        <v>0</v>
      </c>
      <c r="BM75" s="33">
        <v>0</v>
      </c>
      <c r="BN75" s="33">
        <v>0</v>
      </c>
      <c r="BO75" s="33">
        <v>0</v>
      </c>
      <c r="BP75" s="33">
        <v>0</v>
      </c>
      <c r="BQ75" s="33">
        <v>0</v>
      </c>
      <c r="BR75" s="33">
        <v>0</v>
      </c>
      <c r="BS75" s="33">
        <v>0</v>
      </c>
      <c r="BT75" s="33">
        <v>0</v>
      </c>
      <c r="BU75" s="33">
        <v>0</v>
      </c>
      <c r="BV75" s="33">
        <v>0</v>
      </c>
      <c r="BW75" s="33">
        <v>0</v>
      </c>
      <c r="BX75" s="33">
        <v>0</v>
      </c>
      <c r="BY75" s="33">
        <v>0</v>
      </c>
      <c r="BZ75" s="33">
        <v>0</v>
      </c>
      <c r="CA75" s="33">
        <v>0</v>
      </c>
      <c r="CB75" s="33">
        <v>0</v>
      </c>
      <c r="CC75" s="33">
        <v>0</v>
      </c>
      <c r="CD75" s="33">
        <v>0</v>
      </c>
      <c r="CE75" s="33">
        <v>0</v>
      </c>
      <c r="CF75" s="33">
        <v>0</v>
      </c>
      <c r="CG75" s="33">
        <v>0</v>
      </c>
      <c r="CH75" s="33">
        <v>0</v>
      </c>
      <c r="CI75" s="33">
        <v>0</v>
      </c>
      <c r="CJ75" s="33">
        <v>0</v>
      </c>
      <c r="CK75" s="33">
        <v>0</v>
      </c>
      <c r="CL75" s="33">
        <v>0</v>
      </c>
      <c r="CM75" s="33">
        <v>0</v>
      </c>
      <c r="CN75" s="33">
        <v>0</v>
      </c>
      <c r="CO75" s="33">
        <v>0</v>
      </c>
      <c r="CP75" s="33">
        <v>0</v>
      </c>
      <c r="CQ75" s="33">
        <v>0</v>
      </c>
      <c r="CR75" s="33">
        <v>0</v>
      </c>
      <c r="CS75" s="33">
        <v>0</v>
      </c>
      <c r="CT75" s="33">
        <v>0</v>
      </c>
      <c r="CU75" s="33">
        <v>0</v>
      </c>
      <c r="CV75" s="33">
        <v>0</v>
      </c>
      <c r="CW75" s="33">
        <v>0</v>
      </c>
      <c r="CX75" s="33">
        <v>0</v>
      </c>
      <c r="CY75" s="33">
        <v>0</v>
      </c>
      <c r="CZ75" s="33">
        <v>0</v>
      </c>
      <c r="DA75" s="33">
        <v>0</v>
      </c>
      <c r="DB75" s="33">
        <v>0</v>
      </c>
      <c r="DC75" s="33">
        <v>0</v>
      </c>
      <c r="DD75" s="33">
        <v>0</v>
      </c>
      <c r="DE75" s="33">
        <v>0</v>
      </c>
      <c r="DF75" s="33">
        <v>0</v>
      </c>
      <c r="DG75" s="33">
        <v>0</v>
      </c>
      <c r="DH75" s="33">
        <v>0</v>
      </c>
      <c r="DI75" s="33">
        <v>0</v>
      </c>
      <c r="DJ75" s="33">
        <v>0</v>
      </c>
      <c r="DK75" s="33">
        <v>0</v>
      </c>
      <c r="DL75" s="8">
        <v>0</v>
      </c>
    </row>
    <row r="76" spans="1:116" ht="12" customHeight="1" x14ac:dyDescent="0.2">
      <c r="A76" s="15" t="s">
        <v>455</v>
      </c>
      <c r="B76" s="1"/>
      <c r="C76" s="16"/>
      <c r="D76" s="26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0</v>
      </c>
      <c r="AL76" s="34">
        <v>0</v>
      </c>
      <c r="AM76" s="34">
        <v>0</v>
      </c>
      <c r="AN76" s="34">
        <v>0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  <c r="AT76" s="34">
        <v>0</v>
      </c>
      <c r="AU76" s="34">
        <v>0</v>
      </c>
      <c r="AV76" s="34">
        <v>0</v>
      </c>
      <c r="AW76" s="34">
        <v>0</v>
      </c>
      <c r="AX76" s="34">
        <v>0</v>
      </c>
      <c r="AY76" s="34">
        <v>0</v>
      </c>
      <c r="AZ76" s="34">
        <v>0</v>
      </c>
      <c r="BA76" s="34">
        <v>0</v>
      </c>
      <c r="BB76" s="34">
        <v>0</v>
      </c>
      <c r="BC76" s="34">
        <v>0</v>
      </c>
      <c r="BD76" s="34">
        <v>0</v>
      </c>
      <c r="BE76" s="34">
        <v>0</v>
      </c>
      <c r="BF76" s="34">
        <v>0</v>
      </c>
      <c r="BG76" s="34">
        <v>0</v>
      </c>
      <c r="BH76" s="34">
        <v>0</v>
      </c>
      <c r="BI76" s="34">
        <v>0</v>
      </c>
      <c r="BJ76" s="34">
        <v>0</v>
      </c>
      <c r="BK76" s="34">
        <v>0</v>
      </c>
      <c r="BL76" s="34">
        <v>0</v>
      </c>
      <c r="BM76" s="34">
        <v>0</v>
      </c>
      <c r="BN76" s="34">
        <v>0</v>
      </c>
      <c r="BO76" s="34">
        <v>0</v>
      </c>
      <c r="BP76" s="34">
        <v>0</v>
      </c>
      <c r="BQ76" s="34">
        <v>0</v>
      </c>
      <c r="BR76" s="34">
        <v>0</v>
      </c>
      <c r="BS76" s="34">
        <v>0</v>
      </c>
      <c r="BT76" s="34">
        <v>0</v>
      </c>
      <c r="BU76" s="34">
        <v>0</v>
      </c>
      <c r="BV76" s="34">
        <v>0</v>
      </c>
      <c r="BW76" s="34">
        <v>0</v>
      </c>
      <c r="BX76" s="34">
        <v>0</v>
      </c>
      <c r="BY76" s="34">
        <v>0</v>
      </c>
      <c r="BZ76" s="34">
        <v>0</v>
      </c>
      <c r="CA76" s="34">
        <v>0</v>
      </c>
      <c r="CB76" s="34">
        <v>0</v>
      </c>
      <c r="CC76" s="34">
        <v>0</v>
      </c>
      <c r="CD76" s="34">
        <v>0</v>
      </c>
      <c r="CE76" s="34">
        <v>0</v>
      </c>
      <c r="CF76" s="34">
        <v>0</v>
      </c>
      <c r="CG76" s="34">
        <v>0</v>
      </c>
      <c r="CH76" s="34">
        <v>0</v>
      </c>
      <c r="CI76" s="34">
        <v>0</v>
      </c>
      <c r="CJ76" s="34">
        <v>0</v>
      </c>
      <c r="CK76" s="34">
        <v>0</v>
      </c>
      <c r="CL76" s="34">
        <v>0</v>
      </c>
      <c r="CM76" s="34">
        <v>0</v>
      </c>
      <c r="CN76" s="34">
        <v>0</v>
      </c>
      <c r="CO76" s="34">
        <v>0</v>
      </c>
      <c r="CP76" s="34">
        <v>0</v>
      </c>
      <c r="CQ76" s="34">
        <v>0</v>
      </c>
      <c r="CR76" s="34">
        <v>0</v>
      </c>
      <c r="CS76" s="34">
        <v>0</v>
      </c>
      <c r="CT76" s="34">
        <v>0</v>
      </c>
      <c r="CU76" s="34">
        <v>0</v>
      </c>
      <c r="CV76" s="34">
        <v>0</v>
      </c>
      <c r="CW76" s="34">
        <v>0</v>
      </c>
      <c r="CX76" s="34">
        <v>0</v>
      </c>
      <c r="CY76" s="34">
        <v>0</v>
      </c>
      <c r="CZ76" s="34">
        <v>0</v>
      </c>
      <c r="DA76" s="34">
        <v>0</v>
      </c>
      <c r="DB76" s="34">
        <v>0</v>
      </c>
      <c r="DC76" s="34">
        <v>0</v>
      </c>
      <c r="DD76" s="34">
        <v>0</v>
      </c>
      <c r="DE76" s="34">
        <v>0</v>
      </c>
      <c r="DF76" s="34">
        <v>0</v>
      </c>
      <c r="DG76" s="34">
        <v>0</v>
      </c>
      <c r="DH76" s="34">
        <v>0</v>
      </c>
      <c r="DI76" s="34">
        <v>0</v>
      </c>
      <c r="DJ76" s="34">
        <v>0</v>
      </c>
      <c r="DK76" s="34">
        <v>0</v>
      </c>
      <c r="DL76" s="9">
        <v>0</v>
      </c>
    </row>
    <row r="77" spans="1:116" ht="12" customHeight="1" x14ac:dyDescent="0.2">
      <c r="A77" s="15" t="s">
        <v>456</v>
      </c>
      <c r="B77" s="1"/>
      <c r="C77" s="16"/>
      <c r="D77" s="26">
        <v>160</v>
      </c>
      <c r="E77" s="34">
        <v>160</v>
      </c>
      <c r="F77" s="34">
        <v>8</v>
      </c>
      <c r="G77" s="34">
        <v>160</v>
      </c>
      <c r="H77" s="34">
        <v>160</v>
      </c>
      <c r="I77" s="34">
        <v>80</v>
      </c>
      <c r="J77" s="34">
        <v>160</v>
      </c>
      <c r="K77" s="34">
        <v>64</v>
      </c>
      <c r="L77" s="34">
        <v>160</v>
      </c>
      <c r="M77" s="34">
        <v>136</v>
      </c>
      <c r="N77" s="34">
        <v>160</v>
      </c>
      <c r="O77" s="34">
        <v>160</v>
      </c>
      <c r="P77" s="34">
        <v>160</v>
      </c>
      <c r="Q77" s="34">
        <v>160</v>
      </c>
      <c r="R77" s="34">
        <v>160</v>
      </c>
      <c r="S77" s="34">
        <v>160</v>
      </c>
      <c r="T77" s="34">
        <v>48</v>
      </c>
      <c r="U77" s="34">
        <v>160</v>
      </c>
      <c r="V77" s="34">
        <v>160</v>
      </c>
      <c r="W77" s="34">
        <v>160</v>
      </c>
      <c r="X77" s="34">
        <v>160</v>
      </c>
      <c r="Y77" s="34">
        <v>160</v>
      </c>
      <c r="Z77" s="34">
        <v>160</v>
      </c>
      <c r="AA77" s="34">
        <v>160</v>
      </c>
      <c r="AB77" s="34">
        <v>120</v>
      </c>
      <c r="AC77" s="34">
        <v>128</v>
      </c>
      <c r="AD77" s="34">
        <v>160</v>
      </c>
      <c r="AE77" s="34">
        <v>160</v>
      </c>
      <c r="AF77" s="34">
        <v>160</v>
      </c>
      <c r="AG77" s="34">
        <v>160</v>
      </c>
      <c r="AH77" s="34">
        <v>160</v>
      </c>
      <c r="AI77" s="34">
        <v>160</v>
      </c>
      <c r="AJ77" s="34">
        <v>160</v>
      </c>
      <c r="AK77" s="34">
        <v>8</v>
      </c>
      <c r="AL77" s="34">
        <v>0</v>
      </c>
      <c r="AM77" s="34">
        <v>160</v>
      </c>
      <c r="AN77" s="34">
        <v>160</v>
      </c>
      <c r="AO77" s="34">
        <v>160</v>
      </c>
      <c r="AP77" s="34">
        <v>160</v>
      </c>
      <c r="AQ77" s="34">
        <v>160</v>
      </c>
      <c r="AR77" s="34">
        <v>120</v>
      </c>
      <c r="AS77" s="34">
        <v>160</v>
      </c>
      <c r="AT77" s="34">
        <v>160</v>
      </c>
      <c r="AU77" s="34">
        <v>160</v>
      </c>
      <c r="AV77" s="34">
        <v>160</v>
      </c>
      <c r="AW77" s="34">
        <v>160</v>
      </c>
      <c r="AX77" s="34">
        <v>144</v>
      </c>
      <c r="AY77" s="34">
        <v>160</v>
      </c>
      <c r="AZ77" s="34">
        <v>160</v>
      </c>
      <c r="BA77" s="34">
        <v>160</v>
      </c>
      <c r="BB77" s="34">
        <v>0</v>
      </c>
      <c r="BC77" s="34">
        <v>160</v>
      </c>
      <c r="BD77" s="34">
        <v>120</v>
      </c>
      <c r="BE77" s="34">
        <v>160</v>
      </c>
      <c r="BF77" s="34">
        <v>0</v>
      </c>
      <c r="BG77" s="34">
        <v>160</v>
      </c>
      <c r="BH77" s="34">
        <v>160</v>
      </c>
      <c r="BI77" s="34">
        <v>160</v>
      </c>
      <c r="BJ77" s="34">
        <v>160</v>
      </c>
      <c r="BK77" s="34">
        <v>160</v>
      </c>
      <c r="BL77" s="34">
        <v>160</v>
      </c>
      <c r="BM77" s="34">
        <v>160</v>
      </c>
      <c r="BN77" s="34">
        <v>160</v>
      </c>
      <c r="BO77" s="34">
        <v>160</v>
      </c>
      <c r="BP77" s="34">
        <v>144</v>
      </c>
      <c r="BQ77" s="34">
        <v>160</v>
      </c>
      <c r="BR77" s="34">
        <v>160</v>
      </c>
      <c r="BS77" s="34">
        <v>160</v>
      </c>
      <c r="BT77" s="34">
        <v>160</v>
      </c>
      <c r="BU77" s="34">
        <v>160</v>
      </c>
      <c r="BV77" s="34">
        <v>120</v>
      </c>
      <c r="BW77" s="34">
        <v>160</v>
      </c>
      <c r="BX77" s="34">
        <v>160</v>
      </c>
      <c r="BY77" s="34">
        <v>160</v>
      </c>
      <c r="BZ77" s="34">
        <v>160</v>
      </c>
      <c r="CA77" s="34">
        <v>160</v>
      </c>
      <c r="CB77" s="34">
        <v>160</v>
      </c>
      <c r="CC77" s="34">
        <v>160</v>
      </c>
      <c r="CD77" s="34">
        <v>160</v>
      </c>
      <c r="CE77" s="34">
        <v>160</v>
      </c>
      <c r="CF77" s="34">
        <v>160</v>
      </c>
      <c r="CG77" s="34">
        <v>160</v>
      </c>
      <c r="CH77" s="34">
        <v>160</v>
      </c>
      <c r="CI77" s="34">
        <v>160</v>
      </c>
      <c r="CJ77" s="34">
        <v>160</v>
      </c>
      <c r="CK77" s="34">
        <v>160</v>
      </c>
      <c r="CL77" s="34">
        <v>160</v>
      </c>
      <c r="CM77" s="34">
        <v>160</v>
      </c>
      <c r="CN77" s="34">
        <v>160</v>
      </c>
      <c r="CO77" s="34">
        <v>0</v>
      </c>
      <c r="CP77" s="34">
        <v>160</v>
      </c>
      <c r="CQ77" s="34">
        <v>160</v>
      </c>
      <c r="CR77" s="34">
        <v>160</v>
      </c>
      <c r="CS77" s="34">
        <v>160</v>
      </c>
      <c r="CT77" s="34">
        <v>152</v>
      </c>
      <c r="CU77" s="34">
        <v>160</v>
      </c>
      <c r="CV77" s="34">
        <v>160</v>
      </c>
      <c r="CW77" s="34">
        <v>160</v>
      </c>
      <c r="CX77" s="34">
        <v>160</v>
      </c>
      <c r="CY77" s="34">
        <v>160</v>
      </c>
      <c r="CZ77" s="34">
        <v>120</v>
      </c>
      <c r="DA77" s="34">
        <v>160</v>
      </c>
      <c r="DB77" s="34">
        <v>160</v>
      </c>
      <c r="DC77" s="34">
        <v>160</v>
      </c>
      <c r="DD77" s="34">
        <v>160</v>
      </c>
      <c r="DE77" s="34">
        <v>128</v>
      </c>
      <c r="DF77" s="34">
        <v>112</v>
      </c>
      <c r="DG77" s="34">
        <v>120</v>
      </c>
      <c r="DH77" s="34">
        <v>120</v>
      </c>
      <c r="DI77" s="34">
        <v>112</v>
      </c>
      <c r="DJ77" s="34">
        <v>112</v>
      </c>
      <c r="DK77" s="34">
        <v>72</v>
      </c>
      <c r="DL77" s="9">
        <v>16</v>
      </c>
    </row>
    <row r="78" spans="1:116" ht="12" customHeight="1" x14ac:dyDescent="0.2">
      <c r="A78" s="15" t="s">
        <v>457</v>
      </c>
      <c r="B78" s="1"/>
      <c r="C78" s="16"/>
      <c r="D78" s="26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L78" s="34">
        <v>0</v>
      </c>
      <c r="AM78" s="34">
        <v>0</v>
      </c>
      <c r="AN78" s="34">
        <v>0</v>
      </c>
      <c r="AO78" s="34">
        <v>0</v>
      </c>
      <c r="AP78" s="34">
        <v>0</v>
      </c>
      <c r="AQ78" s="34">
        <v>0</v>
      </c>
      <c r="AR78" s="34">
        <v>0</v>
      </c>
      <c r="AS78" s="34">
        <v>0</v>
      </c>
      <c r="AT78" s="34">
        <v>0</v>
      </c>
      <c r="AU78" s="34">
        <v>0</v>
      </c>
      <c r="AV78" s="34">
        <v>0</v>
      </c>
      <c r="AW78" s="34">
        <v>0</v>
      </c>
      <c r="AX78" s="34">
        <v>0</v>
      </c>
      <c r="AY78" s="34">
        <v>0</v>
      </c>
      <c r="AZ78" s="34">
        <v>0</v>
      </c>
      <c r="BA78" s="34">
        <v>0</v>
      </c>
      <c r="BB78" s="34">
        <v>0</v>
      </c>
      <c r="BC78" s="34">
        <v>0</v>
      </c>
      <c r="BD78" s="34">
        <v>0</v>
      </c>
      <c r="BE78" s="34">
        <v>0</v>
      </c>
      <c r="BF78" s="34">
        <v>0</v>
      </c>
      <c r="BG78" s="34">
        <v>0</v>
      </c>
      <c r="BH78" s="34">
        <v>0</v>
      </c>
      <c r="BI78" s="34">
        <v>0</v>
      </c>
      <c r="BJ78" s="34">
        <v>0</v>
      </c>
      <c r="BK78" s="34">
        <v>0</v>
      </c>
      <c r="BL78" s="34">
        <v>0</v>
      </c>
      <c r="BM78" s="34">
        <v>0</v>
      </c>
      <c r="BN78" s="34">
        <v>0</v>
      </c>
      <c r="BO78" s="34">
        <v>0</v>
      </c>
      <c r="BP78" s="34">
        <v>0</v>
      </c>
      <c r="BQ78" s="34">
        <v>0</v>
      </c>
      <c r="BR78" s="34">
        <v>0</v>
      </c>
      <c r="BS78" s="34">
        <v>0</v>
      </c>
      <c r="BT78" s="34">
        <v>0</v>
      </c>
      <c r="BU78" s="34">
        <v>0</v>
      </c>
      <c r="BV78" s="34">
        <v>0</v>
      </c>
      <c r="BW78" s="34">
        <v>0</v>
      </c>
      <c r="BX78" s="34">
        <v>0</v>
      </c>
      <c r="BY78" s="34">
        <v>0</v>
      </c>
      <c r="BZ78" s="34">
        <v>0</v>
      </c>
      <c r="CA78" s="34">
        <v>0</v>
      </c>
      <c r="CB78" s="34">
        <v>0</v>
      </c>
      <c r="CC78" s="34">
        <v>0</v>
      </c>
      <c r="CD78" s="34">
        <v>0</v>
      </c>
      <c r="CE78" s="34">
        <v>0</v>
      </c>
      <c r="CF78" s="34">
        <v>0</v>
      </c>
      <c r="CG78" s="34">
        <v>0</v>
      </c>
      <c r="CH78" s="34">
        <v>0</v>
      </c>
      <c r="CI78" s="34">
        <v>0</v>
      </c>
      <c r="CJ78" s="34">
        <v>0</v>
      </c>
      <c r="CK78" s="34">
        <v>0</v>
      </c>
      <c r="CL78" s="34">
        <v>0</v>
      </c>
      <c r="CM78" s="34">
        <v>0</v>
      </c>
      <c r="CN78" s="34">
        <v>0</v>
      </c>
      <c r="CO78" s="34">
        <v>0</v>
      </c>
      <c r="CP78" s="34">
        <v>0</v>
      </c>
      <c r="CQ78" s="34">
        <v>0</v>
      </c>
      <c r="CR78" s="34">
        <v>0</v>
      </c>
      <c r="CS78" s="34">
        <v>0</v>
      </c>
      <c r="CT78" s="34">
        <v>0</v>
      </c>
      <c r="CU78" s="34">
        <v>0</v>
      </c>
      <c r="CV78" s="34">
        <v>0</v>
      </c>
      <c r="CW78" s="34">
        <v>0</v>
      </c>
      <c r="CX78" s="34">
        <v>0</v>
      </c>
      <c r="CY78" s="34">
        <v>0</v>
      </c>
      <c r="CZ78" s="34">
        <v>0</v>
      </c>
      <c r="DA78" s="34">
        <v>0</v>
      </c>
      <c r="DB78" s="34">
        <v>0</v>
      </c>
      <c r="DC78" s="34">
        <v>0</v>
      </c>
      <c r="DD78" s="34">
        <v>0</v>
      </c>
      <c r="DE78" s="34">
        <v>0</v>
      </c>
      <c r="DF78" s="34">
        <v>0</v>
      </c>
      <c r="DG78" s="34">
        <v>0</v>
      </c>
      <c r="DH78" s="34">
        <v>0</v>
      </c>
      <c r="DI78" s="34">
        <v>0</v>
      </c>
      <c r="DJ78" s="34">
        <v>0</v>
      </c>
      <c r="DK78" s="34">
        <v>0</v>
      </c>
      <c r="DL78" s="9">
        <v>0</v>
      </c>
    </row>
    <row r="79" spans="1:116" ht="12" customHeight="1" x14ac:dyDescent="0.2">
      <c r="A79" s="15" t="s">
        <v>458</v>
      </c>
      <c r="B79" s="1"/>
      <c r="C79" s="16"/>
      <c r="D79" s="26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L79" s="34">
        <v>0</v>
      </c>
      <c r="AM79" s="34">
        <v>0</v>
      </c>
      <c r="AN79" s="34">
        <v>0</v>
      </c>
      <c r="AO79" s="34">
        <v>0</v>
      </c>
      <c r="AP79" s="34">
        <v>0</v>
      </c>
      <c r="AQ79" s="34">
        <v>0</v>
      </c>
      <c r="AR79" s="34">
        <v>0</v>
      </c>
      <c r="AS79" s="34">
        <v>0</v>
      </c>
      <c r="AT79" s="34">
        <v>0</v>
      </c>
      <c r="AU79" s="34">
        <v>0</v>
      </c>
      <c r="AV79" s="34">
        <v>0</v>
      </c>
      <c r="AW79" s="34">
        <v>0</v>
      </c>
      <c r="AX79" s="34">
        <v>0</v>
      </c>
      <c r="AY79" s="34">
        <v>0</v>
      </c>
      <c r="AZ79" s="34">
        <v>0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0</v>
      </c>
      <c r="BN79" s="34">
        <v>0</v>
      </c>
      <c r="BO79" s="34">
        <v>0</v>
      </c>
      <c r="BP79" s="34">
        <v>0</v>
      </c>
      <c r="BQ79" s="34">
        <v>0</v>
      </c>
      <c r="BR79" s="34">
        <v>0</v>
      </c>
      <c r="BS79" s="34">
        <v>0</v>
      </c>
      <c r="BT79" s="34">
        <v>0</v>
      </c>
      <c r="BU79" s="34">
        <v>0</v>
      </c>
      <c r="BV79" s="34">
        <v>0</v>
      </c>
      <c r="BW79" s="34">
        <v>0</v>
      </c>
      <c r="BX79" s="34">
        <v>0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0</v>
      </c>
      <c r="CF79" s="34">
        <v>0</v>
      </c>
      <c r="CG79" s="34">
        <v>0</v>
      </c>
      <c r="CH79" s="34">
        <v>0</v>
      </c>
      <c r="CI79" s="34">
        <v>0</v>
      </c>
      <c r="CJ79" s="34">
        <v>0</v>
      </c>
      <c r="CK79" s="34">
        <v>0</v>
      </c>
      <c r="CL79" s="34">
        <v>0</v>
      </c>
      <c r="CM79" s="34">
        <v>0</v>
      </c>
      <c r="CN79" s="34">
        <v>0</v>
      </c>
      <c r="CO79" s="34">
        <v>0</v>
      </c>
      <c r="CP79" s="34">
        <v>0</v>
      </c>
      <c r="CQ79" s="34">
        <v>63.77</v>
      </c>
      <c r="CR79" s="34">
        <v>375</v>
      </c>
      <c r="CS79" s="34">
        <v>0</v>
      </c>
      <c r="CT79" s="34">
        <v>0</v>
      </c>
      <c r="CU79" s="34">
        <v>0</v>
      </c>
      <c r="CV79" s="34">
        <v>0</v>
      </c>
      <c r="CW79" s="34">
        <v>0</v>
      </c>
      <c r="CX79" s="34">
        <v>63.77</v>
      </c>
      <c r="CY79" s="34">
        <v>0</v>
      </c>
      <c r="CZ79" s="34">
        <v>0</v>
      </c>
      <c r="DA79" s="34">
        <v>0</v>
      </c>
      <c r="DB79" s="34">
        <v>0</v>
      </c>
      <c r="DC79" s="34">
        <v>0</v>
      </c>
      <c r="DD79" s="34">
        <v>0</v>
      </c>
      <c r="DE79" s="34">
        <v>0</v>
      </c>
      <c r="DF79" s="34">
        <v>0</v>
      </c>
      <c r="DG79" s="34">
        <v>0</v>
      </c>
      <c r="DH79" s="34">
        <v>0</v>
      </c>
      <c r="DI79" s="34">
        <v>0</v>
      </c>
      <c r="DJ79" s="34">
        <v>0</v>
      </c>
      <c r="DK79" s="34">
        <v>0</v>
      </c>
      <c r="DL79" s="9">
        <v>0</v>
      </c>
    </row>
    <row r="80" spans="1:116" ht="12" customHeight="1" thickBot="1" x14ac:dyDescent="0.25">
      <c r="A80" s="17" t="s">
        <v>459</v>
      </c>
      <c r="B80" s="18"/>
      <c r="C80" s="19"/>
      <c r="D80" s="27">
        <v>30</v>
      </c>
      <c r="E80" s="35">
        <v>30</v>
      </c>
      <c r="F80" s="35">
        <v>30</v>
      </c>
      <c r="G80" s="35">
        <v>30</v>
      </c>
      <c r="H80" s="35">
        <v>30</v>
      </c>
      <c r="I80" s="35">
        <v>30</v>
      </c>
      <c r="J80" s="35">
        <v>30</v>
      </c>
      <c r="K80" s="35">
        <v>30</v>
      </c>
      <c r="L80" s="35">
        <v>30</v>
      </c>
      <c r="M80" s="35">
        <v>30</v>
      </c>
      <c r="N80" s="35">
        <v>30</v>
      </c>
      <c r="O80" s="35">
        <v>30</v>
      </c>
      <c r="P80" s="35">
        <v>30</v>
      </c>
      <c r="Q80" s="35">
        <v>30</v>
      </c>
      <c r="R80" s="35">
        <v>30</v>
      </c>
      <c r="S80" s="35">
        <v>30</v>
      </c>
      <c r="T80" s="35">
        <v>30</v>
      </c>
      <c r="U80" s="35">
        <v>30</v>
      </c>
      <c r="V80" s="35">
        <v>30</v>
      </c>
      <c r="W80" s="35">
        <v>30</v>
      </c>
      <c r="X80" s="35">
        <v>30</v>
      </c>
      <c r="Y80" s="35">
        <v>30</v>
      </c>
      <c r="Z80" s="35">
        <v>30</v>
      </c>
      <c r="AA80" s="35">
        <v>30</v>
      </c>
      <c r="AB80" s="35">
        <v>30</v>
      </c>
      <c r="AC80" s="35">
        <v>30</v>
      </c>
      <c r="AD80" s="35">
        <v>30</v>
      </c>
      <c r="AE80" s="35">
        <v>30</v>
      </c>
      <c r="AF80" s="35">
        <v>30</v>
      </c>
      <c r="AG80" s="35">
        <v>30</v>
      </c>
      <c r="AH80" s="35">
        <v>30</v>
      </c>
      <c r="AI80" s="35">
        <v>30</v>
      </c>
      <c r="AJ80" s="35">
        <v>30</v>
      </c>
      <c r="AK80" s="35">
        <v>26</v>
      </c>
      <c r="AL80" s="35">
        <v>30</v>
      </c>
      <c r="AM80" s="35">
        <v>30</v>
      </c>
      <c r="AN80" s="35">
        <v>30</v>
      </c>
      <c r="AO80" s="35">
        <v>30</v>
      </c>
      <c r="AP80" s="35">
        <v>30</v>
      </c>
      <c r="AQ80" s="35">
        <v>30</v>
      </c>
      <c r="AR80" s="35">
        <v>30</v>
      </c>
      <c r="AS80" s="35">
        <v>30</v>
      </c>
      <c r="AT80" s="35">
        <v>30</v>
      </c>
      <c r="AU80" s="35">
        <v>30</v>
      </c>
      <c r="AV80" s="35">
        <v>30</v>
      </c>
      <c r="AW80" s="35">
        <v>30</v>
      </c>
      <c r="AX80" s="35">
        <v>30</v>
      </c>
      <c r="AY80" s="35">
        <v>30</v>
      </c>
      <c r="AZ80" s="35">
        <v>30</v>
      </c>
      <c r="BA80" s="35">
        <v>30</v>
      </c>
      <c r="BB80" s="35">
        <v>30</v>
      </c>
      <c r="BC80" s="35">
        <v>30</v>
      </c>
      <c r="BD80" s="35">
        <v>30</v>
      </c>
      <c r="BE80" s="35">
        <v>30</v>
      </c>
      <c r="BF80" s="35">
        <v>30</v>
      </c>
      <c r="BG80" s="35">
        <v>30</v>
      </c>
      <c r="BH80" s="35">
        <v>30</v>
      </c>
      <c r="BI80" s="35">
        <v>30</v>
      </c>
      <c r="BJ80" s="35">
        <v>30</v>
      </c>
      <c r="BK80" s="35">
        <v>30</v>
      </c>
      <c r="BL80" s="35">
        <v>30</v>
      </c>
      <c r="BM80" s="35">
        <v>30</v>
      </c>
      <c r="BN80" s="35">
        <v>30</v>
      </c>
      <c r="BO80" s="35">
        <v>30</v>
      </c>
      <c r="BP80" s="35">
        <v>30</v>
      </c>
      <c r="BQ80" s="35">
        <v>30</v>
      </c>
      <c r="BR80" s="35">
        <v>30</v>
      </c>
      <c r="BS80" s="35">
        <v>30</v>
      </c>
      <c r="BT80" s="35">
        <v>30</v>
      </c>
      <c r="BU80" s="35">
        <v>30</v>
      </c>
      <c r="BV80" s="35">
        <v>30</v>
      </c>
      <c r="BW80" s="35">
        <v>30</v>
      </c>
      <c r="BX80" s="35">
        <v>30</v>
      </c>
      <c r="BY80" s="35">
        <v>30</v>
      </c>
      <c r="BZ80" s="35">
        <v>30</v>
      </c>
      <c r="CA80" s="35">
        <v>30</v>
      </c>
      <c r="CB80" s="35">
        <v>30</v>
      </c>
      <c r="CC80" s="35">
        <v>30</v>
      </c>
      <c r="CD80" s="35">
        <v>30</v>
      </c>
      <c r="CE80" s="35">
        <v>30</v>
      </c>
      <c r="CF80" s="35">
        <v>30</v>
      </c>
      <c r="CG80" s="35">
        <v>30</v>
      </c>
      <c r="CH80" s="35">
        <v>30</v>
      </c>
      <c r="CI80" s="35">
        <v>30</v>
      </c>
      <c r="CJ80" s="35">
        <v>30</v>
      </c>
      <c r="CK80" s="35">
        <v>30</v>
      </c>
      <c r="CL80" s="35">
        <v>30</v>
      </c>
      <c r="CM80" s="35">
        <v>30</v>
      </c>
      <c r="CN80" s="35">
        <v>30</v>
      </c>
      <c r="CO80" s="35">
        <v>30</v>
      </c>
      <c r="CP80" s="35">
        <v>30</v>
      </c>
      <c r="CQ80" s="35">
        <v>30</v>
      </c>
      <c r="CR80" s="35">
        <v>30</v>
      </c>
      <c r="CS80" s="35">
        <v>30</v>
      </c>
      <c r="CT80" s="35">
        <v>30</v>
      </c>
      <c r="CU80" s="35">
        <v>30</v>
      </c>
      <c r="CV80" s="35">
        <v>30</v>
      </c>
      <c r="CW80" s="35">
        <v>30</v>
      </c>
      <c r="CX80" s="35">
        <v>30</v>
      </c>
      <c r="CY80" s="35">
        <v>30</v>
      </c>
      <c r="CZ80" s="35">
        <v>30</v>
      </c>
      <c r="DA80" s="35">
        <v>30</v>
      </c>
      <c r="DB80" s="35">
        <v>30</v>
      </c>
      <c r="DC80" s="35">
        <v>30</v>
      </c>
      <c r="DD80" s="35">
        <v>30</v>
      </c>
      <c r="DE80" s="35">
        <v>24</v>
      </c>
      <c r="DF80" s="35">
        <v>19</v>
      </c>
      <c r="DG80" s="35">
        <v>22</v>
      </c>
      <c r="DH80" s="35">
        <v>20</v>
      </c>
      <c r="DI80" s="35">
        <v>19</v>
      </c>
      <c r="DJ80" s="35">
        <v>19</v>
      </c>
      <c r="DK80" s="35">
        <v>12</v>
      </c>
      <c r="DL80" s="10">
        <v>3</v>
      </c>
    </row>
  </sheetData>
  <pageMargins left="0" right="0" top="0" bottom="0.39370078740157499" header="0" footer="0"/>
  <pageSetup paperSize="9" fitToWidth="0" orientation="landscape"/>
  <headerFooter>
    <oddHeader>&amp;CIMPUTACIO DE COSTOS&amp;RData llistat : 10/03/26</oddHeader>
    <oddFooter>&amp;RPàg.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3457-A4F0-4D6F-BF81-4DBDDC3CDE0A}">
  <sheetPr>
    <pageSetUpPr fitToPage="1"/>
  </sheetPr>
  <dimension ref="A1:D8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9.1640625" defaultRowHeight="12" customHeight="1" x14ac:dyDescent="0.2"/>
  <cols>
    <col min="1" max="1" width="1.6640625" customWidth="1"/>
    <col min="2" max="2" width="4.6640625" customWidth="1"/>
    <col min="3" max="3" width="56.6640625" customWidth="1"/>
    <col min="4" max="4" width="24.6640625" customWidth="1"/>
  </cols>
  <sheetData>
    <row r="1" spans="1:4" ht="12" customHeight="1" x14ac:dyDescent="0.2">
      <c r="A1" s="1"/>
      <c r="B1" s="2"/>
      <c r="C1" s="2"/>
    </row>
    <row r="2" spans="1:4" ht="12" customHeight="1" x14ac:dyDescent="0.2">
      <c r="A2" s="1" t="s">
        <v>0</v>
      </c>
      <c r="B2" s="2"/>
      <c r="C2" s="2"/>
    </row>
    <row r="3" spans="1:4" ht="12" customHeight="1" thickBot="1" x14ac:dyDescent="0.25">
      <c r="A3" s="1" t="s">
        <v>1</v>
      </c>
      <c r="B3" s="2"/>
      <c r="C3" s="2"/>
    </row>
    <row r="4" spans="1:4" ht="13" customHeight="1" thickTop="1" thickBot="1" x14ac:dyDescent="0.25">
      <c r="A4" s="1" t="s">
        <v>2</v>
      </c>
      <c r="B4" s="2"/>
      <c r="C4" s="6"/>
      <c r="D4" s="43" t="s">
        <v>460</v>
      </c>
    </row>
    <row r="5" spans="1:4" ht="12" customHeight="1" thickTop="1" x14ac:dyDescent="0.2">
      <c r="A5" s="1" t="s">
        <v>3</v>
      </c>
      <c r="B5" s="2"/>
      <c r="C5" s="6"/>
      <c r="D5" s="36" t="s">
        <v>461</v>
      </c>
    </row>
    <row r="6" spans="1:4" ht="12" customHeight="1" x14ac:dyDescent="0.2">
      <c r="A6" s="1"/>
      <c r="B6" s="2"/>
      <c r="C6" s="6"/>
      <c r="D6" s="37"/>
    </row>
    <row r="7" spans="1:4" ht="12" customHeight="1" thickBot="1" x14ac:dyDescent="0.25">
      <c r="A7" s="18"/>
      <c r="B7" s="4"/>
      <c r="C7" s="5"/>
      <c r="D7" s="38"/>
    </row>
    <row r="8" spans="1:4" ht="12" customHeight="1" thickTop="1" x14ac:dyDescent="0.2">
      <c r="A8" s="12"/>
      <c r="B8" s="13"/>
      <c r="C8" s="14"/>
      <c r="D8" s="39"/>
    </row>
    <row r="9" spans="1:4" ht="12" customHeight="1" x14ac:dyDescent="0.2">
      <c r="A9" s="15" t="s">
        <v>394</v>
      </c>
      <c r="B9" s="1"/>
      <c r="C9" s="16"/>
      <c r="D9" s="40"/>
    </row>
    <row r="10" spans="1:4" ht="12" customHeight="1" x14ac:dyDescent="0.2">
      <c r="A10" s="15"/>
      <c r="B10" s="1"/>
      <c r="C10" s="16"/>
      <c r="D10" s="40"/>
    </row>
    <row r="11" spans="1:4" ht="12" customHeight="1" x14ac:dyDescent="0.2">
      <c r="A11" s="15"/>
      <c r="B11" s="1">
        <v>1</v>
      </c>
      <c r="C11" s="16" t="s">
        <v>395</v>
      </c>
      <c r="D11" s="41">
        <f>SUM('1'!$D$11:$DM$11)</f>
        <v>114848.27000000018</v>
      </c>
    </row>
    <row r="12" spans="1:4" ht="12" customHeight="1" x14ac:dyDescent="0.2">
      <c r="A12" s="15"/>
      <c r="B12" s="1">
        <v>13</v>
      </c>
      <c r="C12" s="16" t="s">
        <v>396</v>
      </c>
      <c r="D12" s="41">
        <f>SUM('1'!$D$12:$DM$12)</f>
        <v>80</v>
      </c>
    </row>
    <row r="13" spans="1:4" ht="12" customHeight="1" x14ac:dyDescent="0.2">
      <c r="A13" s="15"/>
      <c r="B13" s="1">
        <v>74</v>
      </c>
      <c r="C13" s="16" t="s">
        <v>397</v>
      </c>
      <c r="D13" s="41">
        <f>SUM('1'!$D$13:$DM$13)</f>
        <v>3382.0100000000043</v>
      </c>
    </row>
    <row r="14" spans="1:4" ht="12" customHeight="1" x14ac:dyDescent="0.2">
      <c r="A14" s="15"/>
      <c r="B14" s="1">
        <v>75</v>
      </c>
      <c r="C14" s="16" t="s">
        <v>398</v>
      </c>
      <c r="D14" s="41">
        <f>SUM('1'!$D$14:$DM$14)</f>
        <v>1658.95</v>
      </c>
    </row>
    <row r="15" spans="1:4" ht="12" customHeight="1" x14ac:dyDescent="0.2">
      <c r="A15" s="15"/>
      <c r="B15" s="1">
        <v>84</v>
      </c>
      <c r="C15" s="16" t="s">
        <v>399</v>
      </c>
      <c r="D15" s="41">
        <f>SUM('1'!$D$15:$DM$15)</f>
        <v>108.37</v>
      </c>
    </row>
    <row r="16" spans="1:4" ht="12" customHeight="1" x14ac:dyDescent="0.2">
      <c r="A16" s="15"/>
      <c r="B16" s="1">
        <v>85</v>
      </c>
      <c r="C16" s="16" t="s">
        <v>400</v>
      </c>
      <c r="D16" s="41">
        <f>SUM('1'!$D$16:$DM$16)</f>
        <v>3588.83</v>
      </c>
    </row>
    <row r="17" spans="1:4" ht="12" customHeight="1" x14ac:dyDescent="0.2">
      <c r="A17" s="15"/>
      <c r="B17" s="1">
        <v>93</v>
      </c>
      <c r="C17" s="16" t="s">
        <v>401</v>
      </c>
      <c r="D17" s="41">
        <f>SUM('1'!$D$17:$DM$17)</f>
        <v>993.54000000000008</v>
      </c>
    </row>
    <row r="18" spans="1:4" ht="12" customHeight="1" x14ac:dyDescent="0.2">
      <c r="A18" s="15"/>
      <c r="B18" s="1">
        <v>113</v>
      </c>
      <c r="C18" s="16" t="s">
        <v>402</v>
      </c>
      <c r="D18" s="41">
        <f>SUM('1'!$D$18:$DM$18)</f>
        <v>1638.8300000000002</v>
      </c>
    </row>
    <row r="19" spans="1:4" ht="12" customHeight="1" x14ac:dyDescent="0.2">
      <c r="A19" s="15"/>
      <c r="B19" s="1">
        <v>123</v>
      </c>
      <c r="C19" s="16" t="s">
        <v>403</v>
      </c>
      <c r="D19" s="41">
        <f>SUM('1'!$D$19:$DM$19)</f>
        <v>152.51000000000033</v>
      </c>
    </row>
    <row r="20" spans="1:4" ht="12" customHeight="1" x14ac:dyDescent="0.2">
      <c r="A20" s="15"/>
      <c r="B20" s="1">
        <v>131</v>
      </c>
      <c r="C20" s="16" t="s">
        <v>404</v>
      </c>
      <c r="D20" s="41">
        <f>SUM('1'!$D$20:$DM$20)</f>
        <v>15177.560000000001</v>
      </c>
    </row>
    <row r="21" spans="1:4" ht="12" customHeight="1" x14ac:dyDescent="0.2">
      <c r="A21" s="15"/>
      <c r="B21" s="1">
        <v>152</v>
      </c>
      <c r="C21" s="16" t="s">
        <v>405</v>
      </c>
      <c r="D21" s="41">
        <f>SUM('1'!$D$21:$DM$21)</f>
        <v>579.58000000000004</v>
      </c>
    </row>
    <row r="22" spans="1:4" ht="12" customHeight="1" x14ac:dyDescent="0.2">
      <c r="A22" s="15"/>
      <c r="B22" s="1">
        <v>171</v>
      </c>
      <c r="C22" s="16" t="s">
        <v>406</v>
      </c>
      <c r="D22" s="41">
        <f>SUM('1'!$D$22:$DM$22)</f>
        <v>946.44</v>
      </c>
    </row>
    <row r="23" spans="1:4" ht="12" customHeight="1" x14ac:dyDescent="0.2">
      <c r="A23" s="15"/>
      <c r="B23" s="1">
        <v>173</v>
      </c>
      <c r="C23" s="16" t="s">
        <v>407</v>
      </c>
      <c r="D23" s="41">
        <f>SUM('1'!$D$23:$DM$23)</f>
        <v>9473.4199999999983</v>
      </c>
    </row>
    <row r="24" spans="1:4" ht="12" customHeight="1" x14ac:dyDescent="0.2">
      <c r="A24" s="15"/>
      <c r="B24" s="1">
        <v>174</v>
      </c>
      <c r="C24" s="16" t="s">
        <v>408</v>
      </c>
      <c r="D24" s="41">
        <f>SUM('1'!$D$24:$DM$24)</f>
        <v>9473.4199999999983</v>
      </c>
    </row>
    <row r="25" spans="1:4" ht="12" customHeight="1" x14ac:dyDescent="0.2">
      <c r="A25" s="15"/>
      <c r="B25" s="1">
        <v>175</v>
      </c>
      <c r="C25" s="16" t="s">
        <v>409</v>
      </c>
      <c r="D25" s="41">
        <f>SUM('1'!$D$25:$DM$25)</f>
        <v>9473.4199999999983</v>
      </c>
    </row>
    <row r="26" spans="1:4" ht="12" customHeight="1" x14ac:dyDescent="0.2">
      <c r="A26" s="15"/>
      <c r="B26" s="1">
        <v>187</v>
      </c>
      <c r="C26" s="16" t="s">
        <v>410</v>
      </c>
      <c r="D26" s="41">
        <f>SUM('1'!$D$26:$DM$26)</f>
        <v>5684.3700000000017</v>
      </c>
    </row>
    <row r="27" spans="1:4" ht="12" customHeight="1" x14ac:dyDescent="0.2">
      <c r="A27" s="15"/>
      <c r="B27" s="1">
        <v>197</v>
      </c>
      <c r="C27" s="16" t="s">
        <v>411</v>
      </c>
      <c r="D27" s="41">
        <f>SUM('1'!$D$27:$DM$27)</f>
        <v>31323.900000000027</v>
      </c>
    </row>
    <row r="28" spans="1:4" ht="12" customHeight="1" x14ac:dyDescent="0.2">
      <c r="A28" s="15"/>
      <c r="B28" s="1">
        <v>199</v>
      </c>
      <c r="C28" s="16" t="s">
        <v>412</v>
      </c>
      <c r="D28" s="41">
        <f>SUM('1'!$D$28:$DM$28)</f>
        <v>1566.07</v>
      </c>
    </row>
    <row r="29" spans="1:4" ht="12" customHeight="1" x14ac:dyDescent="0.2">
      <c r="A29" s="15"/>
      <c r="B29" s="1">
        <v>229</v>
      </c>
      <c r="C29" s="16" t="s">
        <v>413</v>
      </c>
      <c r="D29" s="41">
        <f>SUM('1'!$D$29:$DM$29)</f>
        <v>1250</v>
      </c>
    </row>
    <row r="30" spans="1:4" ht="12" customHeight="1" x14ac:dyDescent="0.2">
      <c r="A30" s="15"/>
      <c r="B30" s="1">
        <v>262</v>
      </c>
      <c r="C30" s="16" t="s">
        <v>414</v>
      </c>
      <c r="D30" s="41">
        <f>SUM('1'!$D$30:$DM$30)</f>
        <v>500</v>
      </c>
    </row>
    <row r="31" spans="1:4" ht="12" customHeight="1" x14ac:dyDescent="0.2">
      <c r="A31" s="15"/>
      <c r="B31" s="1">
        <v>287</v>
      </c>
      <c r="C31" s="16" t="s">
        <v>415</v>
      </c>
      <c r="D31" s="41">
        <f>SUM('1'!$D$31:$DM$31)</f>
        <v>7242.6500000000024</v>
      </c>
    </row>
    <row r="32" spans="1:4" ht="12" customHeight="1" x14ac:dyDescent="0.2">
      <c r="A32" s="15"/>
      <c r="B32" s="1">
        <v>306</v>
      </c>
      <c r="C32" s="16" t="s">
        <v>416</v>
      </c>
      <c r="D32" s="41">
        <f>SUM('1'!$D$32:$DM$32)</f>
        <v>81.3</v>
      </c>
    </row>
    <row r="33" spans="1:4" ht="12" customHeight="1" x14ac:dyDescent="0.2">
      <c r="A33" s="15"/>
      <c r="B33" s="1">
        <v>328</v>
      </c>
      <c r="C33" s="16" t="s">
        <v>417</v>
      </c>
      <c r="D33" s="41">
        <f>SUM('1'!$D$33:$DM$33)</f>
        <v>3378.3799999999997</v>
      </c>
    </row>
    <row r="34" spans="1:4" ht="12" customHeight="1" x14ac:dyDescent="0.2">
      <c r="A34" s="15"/>
      <c r="B34" s="1">
        <v>329</v>
      </c>
      <c r="C34" s="16" t="s">
        <v>418</v>
      </c>
      <c r="D34" s="41">
        <f>SUM('1'!$D$34:$DM$34)</f>
        <v>2407</v>
      </c>
    </row>
    <row r="35" spans="1:4" ht="12" customHeight="1" x14ac:dyDescent="0.2">
      <c r="A35" s="15"/>
      <c r="B35" s="1">
        <v>332</v>
      </c>
      <c r="C35" s="16" t="s">
        <v>419</v>
      </c>
      <c r="D35" s="41">
        <f>SUM('1'!$D$35:$DM$35)</f>
        <v>2966.48</v>
      </c>
    </row>
    <row r="36" spans="1:4" ht="12" customHeight="1" x14ac:dyDescent="0.2">
      <c r="A36" s="15"/>
      <c r="B36" s="1">
        <v>365</v>
      </c>
      <c r="C36" s="16" t="s">
        <v>420</v>
      </c>
      <c r="D36" s="41">
        <f>SUM('1'!$D$36:$DM$36)</f>
        <v>11311.33</v>
      </c>
    </row>
    <row r="37" spans="1:4" ht="12" customHeight="1" x14ac:dyDescent="0.2">
      <c r="A37" s="15"/>
      <c r="B37" s="1">
        <v>397</v>
      </c>
      <c r="C37" s="16" t="s">
        <v>421</v>
      </c>
      <c r="D37" s="41">
        <f>SUM('1'!$D$37:$DM$37)</f>
        <v>3287.3199999999979</v>
      </c>
    </row>
    <row r="38" spans="1:4" ht="12" customHeight="1" x14ac:dyDescent="0.2">
      <c r="A38" s="15"/>
      <c r="B38" s="1">
        <v>450</v>
      </c>
      <c r="C38" s="16" t="s">
        <v>422</v>
      </c>
      <c r="D38" s="41">
        <f>SUM('1'!$D$38:$DM$38)</f>
        <v>1499.39</v>
      </c>
    </row>
    <row r="39" spans="1:4" ht="12" customHeight="1" x14ac:dyDescent="0.2">
      <c r="A39" s="15"/>
      <c r="B39" s="1">
        <v>451</v>
      </c>
      <c r="C39" s="16" t="s">
        <v>423</v>
      </c>
      <c r="D39" s="41">
        <f>SUM('1'!$D$39:$DM$39)</f>
        <v>1024.3500000000001</v>
      </c>
    </row>
    <row r="40" spans="1:4" ht="12" customHeight="1" x14ac:dyDescent="0.2">
      <c r="A40" s="15"/>
      <c r="B40" s="1">
        <v>452</v>
      </c>
      <c r="C40" s="16" t="s">
        <v>424</v>
      </c>
      <c r="D40" s="41">
        <f>SUM('1'!$D$40:$DM$40)</f>
        <v>3520.8599999999997</v>
      </c>
    </row>
    <row r="41" spans="1:4" ht="12" customHeight="1" x14ac:dyDescent="0.2">
      <c r="A41" s="15"/>
      <c r="B41" s="1">
        <v>455</v>
      </c>
      <c r="C41" s="16" t="s">
        <v>425</v>
      </c>
      <c r="D41" s="41">
        <f>SUM('1'!$D$41:$DM$41)</f>
        <v>2694.1500000000005</v>
      </c>
    </row>
    <row r="42" spans="1:4" ht="12" customHeight="1" x14ac:dyDescent="0.2">
      <c r="A42" s="15"/>
      <c r="B42" s="1">
        <v>614</v>
      </c>
      <c r="C42" s="16" t="s">
        <v>426</v>
      </c>
      <c r="D42" s="41">
        <f>SUM('1'!$D$42:$DM$42)</f>
        <v>184.41</v>
      </c>
    </row>
    <row r="43" spans="1:4" ht="12" customHeight="1" x14ac:dyDescent="0.2">
      <c r="A43" s="15"/>
      <c r="B43" s="1">
        <v>634</v>
      </c>
      <c r="C43" s="16" t="s">
        <v>402</v>
      </c>
      <c r="D43" s="41">
        <f>SUM('1'!$D$43:$DM$43)</f>
        <v>25</v>
      </c>
    </row>
    <row r="44" spans="1:4" ht="12" customHeight="1" x14ac:dyDescent="0.2">
      <c r="A44" s="15"/>
      <c r="B44" s="1">
        <v>988</v>
      </c>
      <c r="C44" s="16" t="s">
        <v>427</v>
      </c>
      <c r="D44" s="41">
        <f>SUM('1'!$D$44:$DM$44)</f>
        <v>125.94</v>
      </c>
    </row>
    <row r="45" spans="1:4" ht="12" customHeight="1" x14ac:dyDescent="0.2">
      <c r="A45" s="15"/>
      <c r="B45" s="1"/>
      <c r="C45" s="16"/>
      <c r="D45" s="40"/>
    </row>
    <row r="46" spans="1:4" ht="12" customHeight="1" x14ac:dyDescent="0.2">
      <c r="A46" s="15" t="s">
        <v>428</v>
      </c>
      <c r="B46" s="1"/>
      <c r="C46" s="16"/>
      <c r="D46" s="41">
        <f>SUM('1'!$D$46:$DM$46)</f>
        <v>251648.04999999996</v>
      </c>
    </row>
    <row r="47" spans="1:4" ht="12" customHeight="1" x14ac:dyDescent="0.2">
      <c r="A47" s="15"/>
      <c r="B47" s="1"/>
      <c r="C47" s="16"/>
      <c r="D47" s="40"/>
    </row>
    <row r="48" spans="1:4" ht="12" customHeight="1" x14ac:dyDescent="0.2">
      <c r="A48" s="15"/>
      <c r="B48" s="1">
        <v>703</v>
      </c>
      <c r="C48" s="16" t="s">
        <v>429</v>
      </c>
      <c r="D48" s="41">
        <f>SUM('1'!$D$48:$DM$48)</f>
        <v>565.87</v>
      </c>
    </row>
    <row r="49" spans="1:4" ht="12" customHeight="1" x14ac:dyDescent="0.2">
      <c r="A49" s="15"/>
      <c r="B49" s="1">
        <v>704</v>
      </c>
      <c r="C49" s="16" t="s">
        <v>430</v>
      </c>
      <c r="D49" s="41">
        <f>SUM('1'!$D$49:$DM$49)</f>
        <v>762.45</v>
      </c>
    </row>
    <row r="50" spans="1:4" ht="12" customHeight="1" x14ac:dyDescent="0.2">
      <c r="A50" s="15"/>
      <c r="B50" s="1">
        <v>724</v>
      </c>
      <c r="C50" s="16" t="s">
        <v>431</v>
      </c>
      <c r="D50" s="41">
        <f>SUM('1'!$D$50:$DM$50)</f>
        <v>2075</v>
      </c>
    </row>
    <row r="51" spans="1:4" ht="12" customHeight="1" x14ac:dyDescent="0.2">
      <c r="A51" s="15"/>
      <c r="B51" s="1">
        <v>725</v>
      </c>
      <c r="C51" s="16" t="s">
        <v>432</v>
      </c>
      <c r="D51" s="41">
        <f>SUM('1'!$D$51:$DM$51)</f>
        <v>1068.6100000000001</v>
      </c>
    </row>
    <row r="52" spans="1:4" ht="12" customHeight="1" x14ac:dyDescent="0.2">
      <c r="A52" s="15"/>
      <c r="B52" s="1">
        <v>730</v>
      </c>
      <c r="C52" s="16" t="s">
        <v>433</v>
      </c>
      <c r="D52" s="41">
        <f>SUM('1'!$D$52:$DM$52)</f>
        <v>7.3300000000000125</v>
      </c>
    </row>
    <row r="53" spans="1:4" ht="12" customHeight="1" x14ac:dyDescent="0.2">
      <c r="A53" s="15"/>
      <c r="B53" s="1">
        <v>789</v>
      </c>
      <c r="C53" s="16" t="s">
        <v>434</v>
      </c>
      <c r="D53" s="41">
        <f>SUM('1'!$D$53:$DM$53)</f>
        <v>732.08999999999878</v>
      </c>
    </row>
    <row r="54" spans="1:4" ht="12" customHeight="1" x14ac:dyDescent="0.2">
      <c r="A54" s="15"/>
      <c r="B54" s="1">
        <v>989</v>
      </c>
      <c r="C54" s="16" t="s">
        <v>435</v>
      </c>
      <c r="D54" s="41">
        <f>SUM('1'!$D$54:$DM$54)</f>
        <v>125.94</v>
      </c>
    </row>
    <row r="55" spans="1:4" ht="12" customHeight="1" x14ac:dyDescent="0.2">
      <c r="A55" s="15"/>
      <c r="B55" s="1">
        <v>995</v>
      </c>
      <c r="C55" s="16" t="s">
        <v>436</v>
      </c>
      <c r="D55" s="41">
        <f>SUM('1'!$D$55:$DM$55)</f>
        <v>11701.940000000004</v>
      </c>
    </row>
    <row r="56" spans="1:4" ht="12" customHeight="1" x14ac:dyDescent="0.2">
      <c r="A56" s="15"/>
      <c r="B56" s="1">
        <v>996</v>
      </c>
      <c r="C56" s="16" t="s">
        <v>437</v>
      </c>
      <c r="D56" s="41">
        <f>SUM('1'!$D$56:$DM$56)</f>
        <v>264.92000000000007</v>
      </c>
    </row>
    <row r="57" spans="1:4" ht="12" customHeight="1" x14ac:dyDescent="0.2">
      <c r="A57" s="15"/>
      <c r="B57" s="1">
        <v>997</v>
      </c>
      <c r="C57" s="16" t="s">
        <v>438</v>
      </c>
      <c r="D57" s="41">
        <f>SUM('1'!$D$57:$DM$57)</f>
        <v>3705.7800000000011</v>
      </c>
    </row>
    <row r="58" spans="1:4" ht="12" customHeight="1" x14ac:dyDescent="0.2">
      <c r="A58" s="15"/>
      <c r="B58" s="1">
        <v>999</v>
      </c>
      <c r="C58" s="16" t="s">
        <v>439</v>
      </c>
      <c r="D58" s="41">
        <f>SUM('1'!$D$58:$DM$58)</f>
        <v>38572.18</v>
      </c>
    </row>
    <row r="59" spans="1:4" ht="12" customHeight="1" x14ac:dyDescent="0.2">
      <c r="A59" s="15"/>
      <c r="B59" s="1"/>
      <c r="C59" s="16"/>
      <c r="D59" s="40"/>
    </row>
    <row r="60" spans="1:4" ht="12" customHeight="1" x14ac:dyDescent="0.2">
      <c r="A60" s="15" t="s">
        <v>440</v>
      </c>
      <c r="B60" s="1"/>
      <c r="C60" s="16"/>
      <c r="D60" s="41">
        <f>SUM('1'!$D$60:$DM$60)</f>
        <v>59582.109999999993</v>
      </c>
    </row>
    <row r="61" spans="1:4" ht="12" customHeight="1" x14ac:dyDescent="0.2">
      <c r="A61" s="15"/>
      <c r="B61" s="1"/>
      <c r="C61" s="16"/>
      <c r="D61" s="40"/>
    </row>
    <row r="62" spans="1:4" ht="12" customHeight="1" x14ac:dyDescent="0.2">
      <c r="A62" s="15" t="s">
        <v>441</v>
      </c>
      <c r="B62" s="1"/>
      <c r="C62" s="16"/>
      <c r="D62" s="41">
        <f>SUM('1'!$D$62:$DM$62)</f>
        <v>192065.94000000003</v>
      </c>
    </row>
    <row r="63" spans="1:4" ht="12" customHeight="1" x14ac:dyDescent="0.2">
      <c r="A63" s="15" t="s">
        <v>442</v>
      </c>
      <c r="B63" s="1"/>
      <c r="C63" s="16"/>
      <c r="D63" s="41">
        <f>SUM('1'!$D$63:$DM$63)</f>
        <v>0</v>
      </c>
    </row>
    <row r="64" spans="1:4" ht="12" customHeight="1" x14ac:dyDescent="0.2">
      <c r="A64" s="15" t="s">
        <v>443</v>
      </c>
      <c r="B64" s="1"/>
      <c r="C64" s="16"/>
      <c r="D64" s="41">
        <f>SUM('1'!$D$64:$DM$64)</f>
        <v>78339.789999999979</v>
      </c>
    </row>
    <row r="65" spans="1:4" ht="12" customHeight="1" x14ac:dyDescent="0.2">
      <c r="A65" s="15" t="s">
        <v>444</v>
      </c>
      <c r="B65" s="1"/>
      <c r="C65" s="16"/>
      <c r="D65" s="41">
        <f>SUM('1'!$D$65:$DM$65)</f>
        <v>15672.639999999987</v>
      </c>
    </row>
    <row r="66" spans="1:4" ht="12" customHeight="1" x14ac:dyDescent="0.2">
      <c r="A66" s="15" t="s">
        <v>445</v>
      </c>
      <c r="B66" s="1"/>
      <c r="C66" s="16"/>
      <c r="D66" s="41">
        <f>SUM('1'!$D$66:$DM$66)</f>
        <v>94012.430000000037</v>
      </c>
    </row>
    <row r="67" spans="1:4" ht="12" customHeight="1" x14ac:dyDescent="0.2">
      <c r="A67" s="15" t="s">
        <v>446</v>
      </c>
      <c r="B67" s="1"/>
      <c r="C67" s="16"/>
      <c r="D67" s="41">
        <f>SUM('1'!$D$67:$DM$67)</f>
        <v>0</v>
      </c>
    </row>
    <row r="68" spans="1:4" ht="12" customHeight="1" x14ac:dyDescent="0.2">
      <c r="A68" s="15" t="s">
        <v>447</v>
      </c>
      <c r="B68" s="1"/>
      <c r="C68" s="16"/>
      <c r="D68" s="41">
        <f>SUM('1'!$D$68:$DM$68)</f>
        <v>0</v>
      </c>
    </row>
    <row r="69" spans="1:4" ht="12" customHeight="1" x14ac:dyDescent="0.2">
      <c r="A69" s="15" t="s">
        <v>448</v>
      </c>
      <c r="B69" s="1"/>
      <c r="C69" s="16"/>
      <c r="D69" s="41">
        <f>SUM('1'!$D$69:$DM$69)</f>
        <v>329987.83999999997</v>
      </c>
    </row>
    <row r="70" spans="1:4" ht="12" customHeight="1" x14ac:dyDescent="0.2">
      <c r="A70" s="15" t="s">
        <v>449</v>
      </c>
      <c r="B70" s="1"/>
      <c r="C70" s="16"/>
      <c r="D70" s="41">
        <f>SUM('1'!$D$70:$DM$70)</f>
        <v>250459.31000000003</v>
      </c>
    </row>
    <row r="71" spans="1:4" ht="12" customHeight="1" x14ac:dyDescent="0.2">
      <c r="A71" s="15" t="s">
        <v>450</v>
      </c>
      <c r="B71" s="1"/>
      <c r="C71" s="16"/>
      <c r="D71" s="41">
        <f>SUM('1'!$D$71:$DM$71)</f>
        <v>250459.31000000003</v>
      </c>
    </row>
    <row r="72" spans="1:4" ht="12" customHeight="1" x14ac:dyDescent="0.2">
      <c r="A72" s="15" t="s">
        <v>451</v>
      </c>
      <c r="B72" s="1"/>
      <c r="C72" s="16"/>
      <c r="D72" s="41">
        <f>SUM('1'!$D$72:$DM$72)</f>
        <v>250580.61000000004</v>
      </c>
    </row>
    <row r="73" spans="1:4" ht="12" customHeight="1" x14ac:dyDescent="0.2">
      <c r="A73" s="15" t="s">
        <v>452</v>
      </c>
      <c r="B73" s="1"/>
      <c r="C73" s="16"/>
      <c r="D73" s="41">
        <f>SUM('1'!$D$73:$DM$73)</f>
        <v>579.58000000000004</v>
      </c>
    </row>
    <row r="74" spans="1:4" ht="12" customHeight="1" x14ac:dyDescent="0.2">
      <c r="A74" s="15" t="s">
        <v>453</v>
      </c>
      <c r="B74" s="1"/>
      <c r="C74" s="16"/>
      <c r="D74" s="41">
        <f>SUM('1'!$D$74:$DM$74)</f>
        <v>0</v>
      </c>
    </row>
    <row r="75" spans="1:4" ht="12" customHeight="1" x14ac:dyDescent="0.2">
      <c r="A75" s="15" t="s">
        <v>454</v>
      </c>
      <c r="B75" s="1"/>
      <c r="C75" s="16"/>
      <c r="D75" s="40">
        <f>SUM('1'!$D$75:$DM$75)</f>
        <v>0</v>
      </c>
    </row>
    <row r="76" spans="1:4" ht="12" customHeight="1" x14ac:dyDescent="0.2">
      <c r="A76" s="15" t="s">
        <v>455</v>
      </c>
      <c r="B76" s="1"/>
      <c r="C76" s="16"/>
      <c r="D76" s="41">
        <f>SUM('1'!$D$76:$DM$76)</f>
        <v>0</v>
      </c>
    </row>
    <row r="77" spans="1:4" ht="12" customHeight="1" x14ac:dyDescent="0.2">
      <c r="A77" s="15" t="s">
        <v>456</v>
      </c>
      <c r="B77" s="1"/>
      <c r="C77" s="16"/>
      <c r="D77" s="41">
        <f>SUM('1'!$D$77:$DM$77)</f>
        <v>16064</v>
      </c>
    </row>
    <row r="78" spans="1:4" ht="12" customHeight="1" x14ac:dyDescent="0.2">
      <c r="A78" s="15" t="s">
        <v>457</v>
      </c>
      <c r="B78" s="1"/>
      <c r="C78" s="16"/>
      <c r="D78" s="41">
        <f>SUM('1'!$D$78:$DM$78)</f>
        <v>0</v>
      </c>
    </row>
    <row r="79" spans="1:4" ht="12" customHeight="1" x14ac:dyDescent="0.2">
      <c r="A79" s="15" t="s">
        <v>458</v>
      </c>
      <c r="B79" s="1"/>
      <c r="C79" s="16"/>
      <c r="D79" s="41">
        <f>SUM('1'!$D$79:$DM$79)</f>
        <v>502.53999999999996</v>
      </c>
    </row>
    <row r="80" spans="1:4" ht="12" customHeight="1" x14ac:dyDescent="0.2">
      <c r="A80" s="15" t="s">
        <v>459</v>
      </c>
      <c r="B80" s="1"/>
      <c r="C80" s="16"/>
      <c r="D80" s="41">
        <f>SUM('1'!$D$80:$DM$80)</f>
        <v>3284</v>
      </c>
    </row>
    <row r="81" spans="1:4" ht="12" customHeight="1" thickBot="1" x14ac:dyDescent="0.25">
      <c r="A81" s="17" t="s">
        <v>462</v>
      </c>
      <c r="B81" s="18"/>
      <c r="C81" s="19"/>
      <c r="D81" s="42">
        <v>113</v>
      </c>
    </row>
  </sheetData>
  <pageMargins left="0" right="0" top="0" bottom="0.39370078740157499" header="0" footer="0"/>
  <pageSetup paperSize="9" fitToWidth="0" orientation="landscape"/>
  <headerFooter>
    <oddHeader>&amp;CIMPUTACIO DE COSTOS&amp;RData llistat : 10/03/26</oddHeader>
    <oddFooter>&amp;RPàg.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1</vt:lpstr>
      <vt:lpstr>2</vt:lpstr>
      <vt:lpstr>'1'!Área_de_impresión</vt:lpstr>
      <vt:lpstr>'2'!Área_de_impresión</vt:lpstr>
      <vt:lpstr>'1'!Títulos_a_imprimir</vt:lpstr>
      <vt:lpstr>'2'!Títulos_a_imprimir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Mònica Linde</dc:creator>
  <cp:keywords/>
  <dc:description/>
  <cp:lastModifiedBy>Loreto Basaure Tapia</cp:lastModifiedBy>
  <dcterms:created xsi:type="dcterms:W3CDTF">2026-03-10T11:48:40Z</dcterms:created>
  <dcterms:modified xsi:type="dcterms:W3CDTF">2026-03-10T14:48:16Z</dcterms:modified>
  <cp:category/>
</cp:coreProperties>
</file>